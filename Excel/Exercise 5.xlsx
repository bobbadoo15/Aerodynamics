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inton/Personal/School/Aerodynamics/Excel/"/>
    </mc:Choice>
  </mc:AlternateContent>
  <xr:revisionPtr revIDLastSave="0" documentId="13_ncr:1_{75FA7142-60B4-3C43-B5A2-231C0CB37880}" xr6:coauthVersionLast="47" xr6:coauthVersionMax="47" xr10:uidLastSave="{00000000-0000-0000-0000-000000000000}"/>
  <bookViews>
    <workbookView xWindow="380" yWindow="680" windowWidth="28040" windowHeight="17080" xr2:uid="{DE84619F-1E04-6947-AE41-8D81EAA25096}"/>
  </bookViews>
  <sheets>
    <sheet name="Sheet1" sheetId="1" r:id="rId1"/>
  </sheets>
  <externalReferences>
    <externalReference r:id="rId2"/>
  </externalReferences>
  <definedNames>
    <definedName name="solver_adj" localSheetId="0" hidden="1">Sheet1!$G$5:$G$7</definedName>
    <definedName name="solver_cvg" localSheetId="0" hidden="1">0.0000001</definedName>
    <definedName name="solver_drv" localSheetId="0" hidden="1">2</definedName>
    <definedName name="solver_eng" localSheetId="0" hidden="1">1</definedName>
    <definedName name="solver_itr" localSheetId="0" hidden="1">2147483647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opt" localSheetId="0" hidden="1">Sheet1!$G$9</definedName>
    <definedName name="solver_pre" localSheetId="0" hidden="1">0.00000001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N4" i="1" s="1"/>
  <c r="K5" i="1"/>
  <c r="N5" i="1" s="1"/>
  <c r="K6" i="1"/>
  <c r="N6" i="1" s="1"/>
  <c r="K7" i="1"/>
  <c r="N7" i="1" s="1"/>
  <c r="K8" i="1"/>
  <c r="N8" i="1" s="1"/>
  <c r="K9" i="1"/>
  <c r="N9" i="1" s="1"/>
  <c r="K10" i="1"/>
  <c r="N10" i="1" s="1"/>
  <c r="K11" i="1"/>
  <c r="N11" i="1" s="1"/>
  <c r="K12" i="1"/>
  <c r="N12" i="1" s="1"/>
  <c r="K13" i="1"/>
  <c r="N13" i="1" s="1"/>
  <c r="K3" i="1"/>
  <c r="N3" i="1" s="1"/>
  <c r="G10" i="1"/>
  <c r="G8" i="1"/>
  <c r="O4" i="1"/>
  <c r="O5" i="1"/>
  <c r="O6" i="1"/>
  <c r="O7" i="1"/>
  <c r="O8" i="1"/>
  <c r="O9" i="1"/>
  <c r="O10" i="1"/>
  <c r="O11" i="1"/>
  <c r="O12" i="1"/>
  <c r="O13" i="1"/>
  <c r="O3" i="1"/>
  <c r="G9" i="1" l="1"/>
  <c r="B3" i="1"/>
  <c r="A4" i="1"/>
  <c r="A5" i="1" s="1"/>
  <c r="A6" i="1" s="1"/>
  <c r="A7" i="1" s="1"/>
  <c r="A8" i="1" s="1"/>
  <c r="A9" i="1" s="1"/>
  <c r="A10" i="1" s="1"/>
  <c r="A11" i="1" s="1"/>
  <c r="A12" i="1" s="1"/>
  <c r="A13" i="1" s="1"/>
  <c r="B13" i="1" s="1"/>
  <c r="B9" i="1" l="1"/>
  <c r="Q9" i="1" s="1"/>
  <c r="R9" i="1" s="1"/>
  <c r="B8" i="1"/>
  <c r="Q8" i="1" s="1"/>
  <c r="R8" i="1" s="1"/>
  <c r="Q13" i="1"/>
  <c r="R13" i="1" s="1"/>
  <c r="J13" i="1"/>
  <c r="M13" i="1" s="1"/>
  <c r="Q3" i="1"/>
  <c r="R3" i="1" s="1"/>
  <c r="J3" i="1"/>
  <c r="M3" i="1" s="1"/>
  <c r="B7" i="1"/>
  <c r="J9" i="1"/>
  <c r="M9" i="1" s="1"/>
  <c r="B6" i="1"/>
  <c r="J8" i="1"/>
  <c r="M8" i="1" s="1"/>
  <c r="B5" i="1"/>
  <c r="B12" i="1"/>
  <c r="B4" i="1"/>
  <c r="B11" i="1"/>
  <c r="B10" i="1"/>
  <c r="Q6" i="1" l="1"/>
  <c r="R6" i="1" s="1"/>
  <c r="J6" i="1"/>
  <c r="M6" i="1" s="1"/>
  <c r="Q10" i="1"/>
  <c r="R10" i="1" s="1"/>
  <c r="J10" i="1"/>
  <c r="M10" i="1" s="1"/>
  <c r="Q11" i="1"/>
  <c r="R11" i="1" s="1"/>
  <c r="J11" i="1"/>
  <c r="M11" i="1" s="1"/>
  <c r="Q4" i="1"/>
  <c r="R4" i="1" s="1"/>
  <c r="S3" i="1" s="1"/>
  <c r="J4" i="1"/>
  <c r="M4" i="1" s="1"/>
  <c r="Q7" i="1"/>
  <c r="R7" i="1" s="1"/>
  <c r="J7" i="1"/>
  <c r="M7" i="1" s="1"/>
  <c r="Q12" i="1"/>
  <c r="R12" i="1" s="1"/>
  <c r="J12" i="1"/>
  <c r="M12" i="1" s="1"/>
  <c r="Q5" i="1"/>
  <c r="R5" i="1" s="1"/>
  <c r="J5" i="1"/>
  <c r="M5" i="1" s="1"/>
</calcChain>
</file>

<file path=xl/sharedStrings.xml><?xml version="1.0" encoding="utf-8"?>
<sst xmlns="http://schemas.openxmlformats.org/spreadsheetml/2006/main" count="28" uniqueCount="27">
  <si>
    <t>alpha [deg]</t>
  </si>
  <si>
    <t>CL</t>
  </si>
  <si>
    <t>CD</t>
  </si>
  <si>
    <t>Cmc/4</t>
  </si>
  <si>
    <t>Re = 3x10^6</t>
  </si>
  <si>
    <t>alpha [rad]</t>
  </si>
  <si>
    <t>CL (TAT)</t>
  </si>
  <si>
    <t>Error</t>
  </si>
  <si>
    <t>RMS</t>
  </si>
  <si>
    <t>CL0,a</t>
  </si>
  <si>
    <t>Cl,a [rad]</t>
  </si>
  <si>
    <t>a_lo [rad]</t>
  </si>
  <si>
    <t>CL_cm</t>
  </si>
  <si>
    <t>a_l0 [rad]</t>
  </si>
  <si>
    <t>Cm</t>
  </si>
  <si>
    <t>RMS CL</t>
  </si>
  <si>
    <t>RMS CD</t>
  </si>
  <si>
    <t>RMS Cm</t>
  </si>
  <si>
    <t>CL Error</t>
  </si>
  <si>
    <t>CD Error</t>
  </si>
  <si>
    <t>Cm Error</t>
  </si>
  <si>
    <t>Cmc4</t>
  </si>
  <si>
    <t>CD0</t>
  </si>
  <si>
    <t>CD1</t>
  </si>
  <si>
    <t>CD2</t>
  </si>
  <si>
    <t>Conformal Mapping</t>
  </si>
  <si>
    <t>Equations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</si>
</sst>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7" formatCode="0.000000"/>
    <numFmt numFmtId="168" formatCode="0.00000"/>
    <numFmt numFmtId="169" formatCode="0.0000"/>
    <numFmt numFmtId="174" formatCode="0.0000000000"/>
  </numFmts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72090821256038651"/>
                  <c:y val="-0.12342762063227954"/>
                </c:manualLayout>
              </c:layout>
              <c:numFmt formatCode="#,##0.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Sheet1!$B$3:$B$13</c:f>
              <c:numCache>
                <c:formatCode>General</c:formatCode>
                <c:ptCount val="11"/>
                <c:pt idx="0">
                  <c:v>-0.17453292519943295</c:v>
                </c:pt>
                <c:pt idx="1">
                  <c:v>-0.13962634015954636</c:v>
                </c:pt>
                <c:pt idx="2">
                  <c:v>-0.10471975511965978</c:v>
                </c:pt>
                <c:pt idx="3">
                  <c:v>-6.9813170079773182E-2</c:v>
                </c:pt>
                <c:pt idx="4">
                  <c:v>-3.4906585039886591E-2</c:v>
                </c:pt>
                <c:pt idx="5">
                  <c:v>0</c:v>
                </c:pt>
                <c:pt idx="6">
                  <c:v>3.4906585039886591E-2</c:v>
                </c:pt>
                <c:pt idx="7">
                  <c:v>6.9813170079773182E-2</c:v>
                </c:pt>
                <c:pt idx="8">
                  <c:v>0.10471975511965978</c:v>
                </c:pt>
                <c:pt idx="9">
                  <c:v>0.13962634015954636</c:v>
                </c:pt>
                <c:pt idx="10">
                  <c:v>0.17453292519943295</c:v>
                </c:pt>
              </c:numCache>
            </c:numRef>
          </c:xVal>
          <c:yVal>
            <c:numRef>
              <c:f>Sheet1!$C$3:$C$13</c:f>
              <c:numCache>
                <c:formatCode>General</c:formatCode>
                <c:ptCount val="11"/>
                <c:pt idx="0">
                  <c:v>-0.86229999999999996</c:v>
                </c:pt>
                <c:pt idx="1">
                  <c:v>-0.65129999999999999</c:v>
                </c:pt>
                <c:pt idx="2">
                  <c:v>-0.43140000000000001</c:v>
                </c:pt>
                <c:pt idx="3">
                  <c:v>-0.2077</c:v>
                </c:pt>
                <c:pt idx="4">
                  <c:v>1.7100000000000001E-2</c:v>
                </c:pt>
                <c:pt idx="5">
                  <c:v>0.24210000000000001</c:v>
                </c:pt>
                <c:pt idx="6">
                  <c:v>0.46510000000000001</c:v>
                </c:pt>
                <c:pt idx="7">
                  <c:v>0.67669999999999997</c:v>
                </c:pt>
                <c:pt idx="8">
                  <c:v>0.9113</c:v>
                </c:pt>
                <c:pt idx="9">
                  <c:v>1.1086</c:v>
                </c:pt>
                <c:pt idx="10">
                  <c:v>1.3059000000000001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BC-2D45-8A55-3CDC9E288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5855199"/>
        <c:axId val="687096144"/>
      </c:scatterChart>
      <c:valAx>
        <c:axId val="825855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096144"/>
        <c:crosses val="autoZero"/>
        <c:crossBetween val="midCat"/>
      </c:valAx>
      <c:valAx>
        <c:axId val="68709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855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2"/>
          <c:order val="0"/>
          <c:tx>
            <c:v>CL XFOIL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Sheet1!$B$3:$B$13</c:f>
              <c:numCache>
                <c:formatCode>General</c:formatCode>
                <c:ptCount val="11"/>
                <c:pt idx="0">
                  <c:v>-0.17453292519943295</c:v>
                </c:pt>
                <c:pt idx="1">
                  <c:v>-0.13962634015954636</c:v>
                </c:pt>
                <c:pt idx="2">
                  <c:v>-0.10471975511965978</c:v>
                </c:pt>
                <c:pt idx="3">
                  <c:v>-6.9813170079773182E-2</c:v>
                </c:pt>
                <c:pt idx="4">
                  <c:v>-3.4906585039886591E-2</c:v>
                </c:pt>
                <c:pt idx="5">
                  <c:v>0</c:v>
                </c:pt>
                <c:pt idx="6">
                  <c:v>3.4906585039886591E-2</c:v>
                </c:pt>
                <c:pt idx="7">
                  <c:v>6.9813170079773182E-2</c:v>
                </c:pt>
                <c:pt idx="8">
                  <c:v>0.10471975511965978</c:v>
                </c:pt>
                <c:pt idx="9">
                  <c:v>0.13962634015954636</c:v>
                </c:pt>
                <c:pt idx="10">
                  <c:v>0.17453292519943295</c:v>
                </c:pt>
              </c:numCache>
            </c:numRef>
          </c:cat>
          <c:val>
            <c:numRef>
              <c:f>Sheet1!$C$3:$C$13</c:f>
              <c:numCache>
                <c:formatCode>General</c:formatCode>
                <c:ptCount val="11"/>
                <c:pt idx="0">
                  <c:v>-0.86229999999999996</c:v>
                </c:pt>
                <c:pt idx="1">
                  <c:v>-0.65129999999999999</c:v>
                </c:pt>
                <c:pt idx="2">
                  <c:v>-0.43140000000000001</c:v>
                </c:pt>
                <c:pt idx="3">
                  <c:v>-0.2077</c:v>
                </c:pt>
                <c:pt idx="4">
                  <c:v>1.7100000000000001E-2</c:v>
                </c:pt>
                <c:pt idx="5">
                  <c:v>0.24210000000000001</c:v>
                </c:pt>
                <c:pt idx="6">
                  <c:v>0.46510000000000001</c:v>
                </c:pt>
                <c:pt idx="7">
                  <c:v>0.67669999999999997</c:v>
                </c:pt>
                <c:pt idx="8">
                  <c:v>0.9113</c:v>
                </c:pt>
                <c:pt idx="9">
                  <c:v>1.1086</c:v>
                </c:pt>
                <c:pt idx="10">
                  <c:v>1.3059000000000001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B1-2244-9EA1-C3E420D7E68F}"/>
            </c:ext>
          </c:extLst>
        </c:ser>
        <c:ser>
          <c:idx val="0"/>
          <c:order val="1"/>
          <c:tx>
            <c:v>CL TAT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Sheet1!$B$3:$B$13</c:f>
              <c:numCache>
                <c:formatCode>General</c:formatCode>
                <c:ptCount val="11"/>
                <c:pt idx="0">
                  <c:v>-0.17453292519943295</c:v>
                </c:pt>
                <c:pt idx="1">
                  <c:v>-0.13962634015954636</c:v>
                </c:pt>
                <c:pt idx="2">
                  <c:v>-0.10471975511965978</c:v>
                </c:pt>
                <c:pt idx="3">
                  <c:v>-6.9813170079773182E-2</c:v>
                </c:pt>
                <c:pt idx="4">
                  <c:v>-3.4906585039886591E-2</c:v>
                </c:pt>
                <c:pt idx="5">
                  <c:v>0</c:v>
                </c:pt>
                <c:pt idx="6">
                  <c:v>3.4906585039886591E-2</c:v>
                </c:pt>
                <c:pt idx="7">
                  <c:v>6.9813170079773182E-2</c:v>
                </c:pt>
                <c:pt idx="8">
                  <c:v>0.10471975511965978</c:v>
                </c:pt>
                <c:pt idx="9">
                  <c:v>0.13962634015954636</c:v>
                </c:pt>
                <c:pt idx="10">
                  <c:v>0.17453292519943295</c:v>
                </c:pt>
              </c:numCache>
            </c:numRef>
          </c:cat>
          <c:val>
            <c:numRef>
              <c:f>Sheet1!$J$3:$J$13</c:f>
              <c:numCache>
                <c:formatCode>0.0000</c:formatCode>
                <c:ptCount val="11"/>
                <c:pt idx="0">
                  <c:v>-0.86260454545368925</c:v>
                </c:pt>
                <c:pt idx="1">
                  <c:v>-0.64328181818092445</c:v>
                </c:pt>
                <c:pt idx="2">
                  <c:v>-0.4239590909081597</c:v>
                </c:pt>
                <c:pt idx="3">
                  <c:v>-0.20463636363539475</c:v>
                </c:pt>
                <c:pt idx="4">
                  <c:v>1.4686363637370097E-2</c:v>
                </c:pt>
                <c:pt idx="5">
                  <c:v>0.23400909091013494</c:v>
                </c:pt>
                <c:pt idx="6">
                  <c:v>0.4533318181828998</c:v>
                </c:pt>
                <c:pt idx="7">
                  <c:v>0.67265454545566472</c:v>
                </c:pt>
                <c:pt idx="8">
                  <c:v>0.89197727272842953</c:v>
                </c:pt>
                <c:pt idx="9">
                  <c:v>1.1113000000011943</c:v>
                </c:pt>
                <c:pt idx="10">
                  <c:v>1.330622727273959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19-B24F-88AE-9FAB02A9F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5262895"/>
        <c:axId val="935243263"/>
      </c:lineChart>
      <c:catAx>
        <c:axId val="935262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𝛼 [rad]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00" sourceLinked="0"/>
        <c:majorTickMark val="cross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35243263"/>
        <c:crossesAt val="-1.5"/>
        <c:auto val="1"/>
        <c:lblAlgn val="ctr"/>
        <c:lblOffset val="100"/>
        <c:noMultiLvlLbl val="1"/>
      </c:catAx>
      <c:valAx>
        <c:axId val="935243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1" u="none" strike="noStrike" kern="1200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C̃</a:t>
                </a:r>
                <a:r>
                  <a:rPr lang="en-US" sz="1200" b="0" i="1" u="none" strike="noStrike" kern="1200" baseline="-2500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</a:t>
                </a:r>
                <a:endParaRPr lang="en-US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cross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35262895"/>
        <c:crossesAt val="1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2"/>
          <c:order val="0"/>
          <c:tx>
            <c:v>CL XFOIL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Sheet1!$B$3:$B$13</c:f>
              <c:numCache>
                <c:formatCode>General</c:formatCode>
                <c:ptCount val="11"/>
                <c:pt idx="0">
                  <c:v>-0.17453292519943295</c:v>
                </c:pt>
                <c:pt idx="1">
                  <c:v>-0.13962634015954636</c:v>
                </c:pt>
                <c:pt idx="2">
                  <c:v>-0.10471975511965978</c:v>
                </c:pt>
                <c:pt idx="3">
                  <c:v>-6.9813170079773182E-2</c:v>
                </c:pt>
                <c:pt idx="4">
                  <c:v>-3.4906585039886591E-2</c:v>
                </c:pt>
                <c:pt idx="5">
                  <c:v>0</c:v>
                </c:pt>
                <c:pt idx="6">
                  <c:v>3.4906585039886591E-2</c:v>
                </c:pt>
                <c:pt idx="7">
                  <c:v>6.9813170079773182E-2</c:v>
                </c:pt>
                <c:pt idx="8">
                  <c:v>0.10471975511965978</c:v>
                </c:pt>
                <c:pt idx="9">
                  <c:v>0.13962634015954636</c:v>
                </c:pt>
                <c:pt idx="10">
                  <c:v>0.17453292519943295</c:v>
                </c:pt>
              </c:numCache>
            </c:numRef>
          </c:cat>
          <c:val>
            <c:numRef>
              <c:f>Sheet1!$C$3:$C$13</c:f>
              <c:numCache>
                <c:formatCode>General</c:formatCode>
                <c:ptCount val="11"/>
                <c:pt idx="0">
                  <c:v>-0.86229999999999996</c:v>
                </c:pt>
                <c:pt idx="1">
                  <c:v>-0.65129999999999999</c:v>
                </c:pt>
                <c:pt idx="2">
                  <c:v>-0.43140000000000001</c:v>
                </c:pt>
                <c:pt idx="3">
                  <c:v>-0.2077</c:v>
                </c:pt>
                <c:pt idx="4">
                  <c:v>1.7100000000000001E-2</c:v>
                </c:pt>
                <c:pt idx="5">
                  <c:v>0.24210000000000001</c:v>
                </c:pt>
                <c:pt idx="6">
                  <c:v>0.46510000000000001</c:v>
                </c:pt>
                <c:pt idx="7">
                  <c:v>0.67669999999999997</c:v>
                </c:pt>
                <c:pt idx="8">
                  <c:v>0.9113</c:v>
                </c:pt>
                <c:pt idx="9">
                  <c:v>1.1086</c:v>
                </c:pt>
                <c:pt idx="10">
                  <c:v>1.3059000000000001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3C-B644-BDB2-411D033AE2E4}"/>
            </c:ext>
          </c:extLst>
        </c:ser>
        <c:ser>
          <c:idx val="0"/>
          <c:order val="1"/>
          <c:tx>
            <c:v>CL Conformal Mapping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Sheet1!$Q$3:$Q$13</c:f>
              <c:numCache>
                <c:formatCode>General</c:formatCode>
                <c:ptCount val="11"/>
                <c:pt idx="0">
                  <c:v>-0.86313031380438598</c:v>
                </c:pt>
                <c:pt idx="1">
                  <c:v>-0.64444506688239123</c:v>
                </c:pt>
                <c:pt idx="2">
                  <c:v>-0.42497466291555275</c:v>
                </c:pt>
                <c:pt idx="3">
                  <c:v>-0.20498649278428027</c:v>
                </c:pt>
                <c:pt idx="4">
                  <c:v>1.5251421812701347E-2</c:v>
                </c:pt>
                <c:pt idx="5">
                  <c:v>0.23547075490150557</c:v>
                </c:pt>
                <c:pt idx="6">
                  <c:v>0.45540320314695149</c:v>
                </c:pt>
                <c:pt idx="7">
                  <c:v>0.67478081273884871</c:v>
                </c:pt>
                <c:pt idx="8">
                  <c:v>0.89333630585243973</c:v>
                </c:pt>
                <c:pt idx="9">
                  <c:v>1.1108034062852583</c:v>
                </c:pt>
                <c:pt idx="10">
                  <c:v>1.3269171638736661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3C-B644-BDB2-411D033AE2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5262895"/>
        <c:axId val="935243263"/>
      </c:lineChart>
      <c:catAx>
        <c:axId val="935262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𝛼 [rad]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00" sourceLinked="0"/>
        <c:majorTickMark val="cross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35243263"/>
        <c:crossesAt val="-1.5"/>
        <c:auto val="1"/>
        <c:lblAlgn val="ctr"/>
        <c:lblOffset val="100"/>
        <c:noMultiLvlLbl val="1"/>
      </c:catAx>
      <c:valAx>
        <c:axId val="935243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1" u="none" strike="noStrike" kern="1200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C̃</a:t>
                </a:r>
                <a:r>
                  <a:rPr lang="en-US" sz="1200" b="0" i="1" u="none" strike="noStrike" kern="1200" baseline="-2500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</a:t>
                </a:r>
                <a:endParaRPr lang="en-US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cross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35262895"/>
        <c:crossesAt val="1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1.5132544389648121E-2"/>
                  <c:y val="-5.6019495067276326E-2"/>
                </c:manualLayout>
              </c:layout>
              <c:numFmt formatCode="#,##0.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Sheet1!$C$3:$C$13</c:f>
              <c:numCache>
                <c:formatCode>General</c:formatCode>
                <c:ptCount val="11"/>
                <c:pt idx="0">
                  <c:v>-0.86229999999999996</c:v>
                </c:pt>
                <c:pt idx="1">
                  <c:v>-0.65129999999999999</c:v>
                </c:pt>
                <c:pt idx="2">
                  <c:v>-0.43140000000000001</c:v>
                </c:pt>
                <c:pt idx="3">
                  <c:v>-0.2077</c:v>
                </c:pt>
                <c:pt idx="4">
                  <c:v>1.7100000000000001E-2</c:v>
                </c:pt>
                <c:pt idx="5">
                  <c:v>0.24210000000000001</c:v>
                </c:pt>
                <c:pt idx="6">
                  <c:v>0.46510000000000001</c:v>
                </c:pt>
                <c:pt idx="7">
                  <c:v>0.67669999999999997</c:v>
                </c:pt>
                <c:pt idx="8">
                  <c:v>0.9113</c:v>
                </c:pt>
                <c:pt idx="9">
                  <c:v>1.1086</c:v>
                </c:pt>
                <c:pt idx="10">
                  <c:v>1.3059000000000001</c:v>
                </c:pt>
              </c:numCache>
            </c:numRef>
          </c:xVal>
          <c:yVal>
            <c:numRef>
              <c:f>Sheet1!$D$3:$D$13</c:f>
              <c:numCache>
                <c:formatCode>General</c:formatCode>
                <c:ptCount val="11"/>
                <c:pt idx="0">
                  <c:v>1.0460000000000001E-2</c:v>
                </c:pt>
                <c:pt idx="1">
                  <c:v>8.5699999999999995E-3</c:v>
                </c:pt>
                <c:pt idx="2">
                  <c:v>7.2700000000000004E-3</c:v>
                </c:pt>
                <c:pt idx="3">
                  <c:v>6.4099999999999999E-3</c:v>
                </c:pt>
                <c:pt idx="4">
                  <c:v>5.8399999999999997E-3</c:v>
                </c:pt>
                <c:pt idx="5">
                  <c:v>5.4799999999999996E-3</c:v>
                </c:pt>
                <c:pt idx="6">
                  <c:v>5.11E-3</c:v>
                </c:pt>
                <c:pt idx="7">
                  <c:v>5.7299999999999999E-3</c:v>
                </c:pt>
                <c:pt idx="8">
                  <c:v>7.9000000000000008E-3</c:v>
                </c:pt>
                <c:pt idx="9">
                  <c:v>1.0030000000000001E-2</c:v>
                </c:pt>
                <c:pt idx="10">
                  <c:v>1.2290000000000001E-2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0E-AD48-8263-F4AFD08314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5855199"/>
        <c:axId val="687096144"/>
      </c:scatterChart>
      <c:valAx>
        <c:axId val="825855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096144"/>
        <c:crosses val="autoZero"/>
        <c:crossBetween val="midCat"/>
      </c:valAx>
      <c:valAx>
        <c:axId val="68709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855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2"/>
          <c:order val="0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Sheet1!$B$3:$B$13</c:f>
              <c:numCache>
                <c:formatCode>General</c:formatCode>
                <c:ptCount val="11"/>
                <c:pt idx="0">
                  <c:v>-0.17453292519943295</c:v>
                </c:pt>
                <c:pt idx="1">
                  <c:v>-0.13962634015954636</c:v>
                </c:pt>
                <c:pt idx="2">
                  <c:v>-0.10471975511965978</c:v>
                </c:pt>
                <c:pt idx="3">
                  <c:v>-6.9813170079773182E-2</c:v>
                </c:pt>
                <c:pt idx="4">
                  <c:v>-3.4906585039886591E-2</c:v>
                </c:pt>
                <c:pt idx="5">
                  <c:v>0</c:v>
                </c:pt>
                <c:pt idx="6">
                  <c:v>3.4906585039886591E-2</c:v>
                </c:pt>
                <c:pt idx="7">
                  <c:v>6.9813170079773182E-2</c:v>
                </c:pt>
                <c:pt idx="8">
                  <c:v>0.10471975511965978</c:v>
                </c:pt>
                <c:pt idx="9">
                  <c:v>0.13962634015954636</c:v>
                </c:pt>
                <c:pt idx="10">
                  <c:v>0.17453292519943295</c:v>
                </c:pt>
              </c:numCache>
            </c:numRef>
          </c:cat>
          <c:val>
            <c:numRef>
              <c:f>Sheet1!$C$3:$C$13</c:f>
              <c:numCache>
                <c:formatCode>General</c:formatCode>
                <c:ptCount val="11"/>
                <c:pt idx="0">
                  <c:v>-0.86229999999999996</c:v>
                </c:pt>
                <c:pt idx="1">
                  <c:v>-0.65129999999999999</c:v>
                </c:pt>
                <c:pt idx="2">
                  <c:v>-0.43140000000000001</c:v>
                </c:pt>
                <c:pt idx="3">
                  <c:v>-0.2077</c:v>
                </c:pt>
                <c:pt idx="4">
                  <c:v>1.7100000000000001E-2</c:v>
                </c:pt>
                <c:pt idx="5">
                  <c:v>0.24210000000000001</c:v>
                </c:pt>
                <c:pt idx="6">
                  <c:v>0.46510000000000001</c:v>
                </c:pt>
                <c:pt idx="7">
                  <c:v>0.67669999999999997</c:v>
                </c:pt>
                <c:pt idx="8">
                  <c:v>0.9113</c:v>
                </c:pt>
                <c:pt idx="9">
                  <c:v>1.1086</c:v>
                </c:pt>
                <c:pt idx="10">
                  <c:v>1.3059000000000001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v>CL XFOIL</c:v>
                </c15:tx>
              </c15:filteredSeriesTitle>
            </c:ext>
            <c:ext xmlns:c16="http://schemas.microsoft.com/office/drawing/2014/chart" uri="{C3380CC4-5D6E-409C-BE32-E72D297353CC}">
              <c16:uniqueId val="{00000000-0BE9-294F-89B6-989B42C55A80}"/>
            </c:ext>
          </c:extLst>
        </c:ser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Sheet1!$B$3:$B$13</c:f>
              <c:numCache>
                <c:formatCode>General</c:formatCode>
                <c:ptCount val="11"/>
                <c:pt idx="0">
                  <c:v>-0.17453292519943295</c:v>
                </c:pt>
                <c:pt idx="1">
                  <c:v>-0.13962634015954636</c:v>
                </c:pt>
                <c:pt idx="2">
                  <c:v>-0.10471975511965978</c:v>
                </c:pt>
                <c:pt idx="3">
                  <c:v>-6.9813170079773182E-2</c:v>
                </c:pt>
                <c:pt idx="4">
                  <c:v>-3.4906585039886591E-2</c:v>
                </c:pt>
                <c:pt idx="5">
                  <c:v>0</c:v>
                </c:pt>
                <c:pt idx="6">
                  <c:v>3.4906585039886591E-2</c:v>
                </c:pt>
                <c:pt idx="7">
                  <c:v>6.9813170079773182E-2</c:v>
                </c:pt>
                <c:pt idx="8">
                  <c:v>0.10471975511965978</c:v>
                </c:pt>
                <c:pt idx="9">
                  <c:v>0.13962634015954636</c:v>
                </c:pt>
                <c:pt idx="10">
                  <c:v>0.17453292519943295</c:v>
                </c:pt>
              </c:numCache>
            </c:numRef>
          </c:cat>
          <c:val>
            <c:numRef>
              <c:f>Sheet1!$J$3:$J$13</c:f>
              <c:numCache>
                <c:formatCode>0.0000</c:formatCode>
                <c:ptCount val="11"/>
                <c:pt idx="0">
                  <c:v>-0.86260454545368925</c:v>
                </c:pt>
                <c:pt idx="1">
                  <c:v>-0.64328181818092445</c:v>
                </c:pt>
                <c:pt idx="2">
                  <c:v>-0.4239590909081597</c:v>
                </c:pt>
                <c:pt idx="3">
                  <c:v>-0.20463636363539475</c:v>
                </c:pt>
                <c:pt idx="4">
                  <c:v>1.4686363637370097E-2</c:v>
                </c:pt>
                <c:pt idx="5">
                  <c:v>0.23400909091013494</c:v>
                </c:pt>
                <c:pt idx="6">
                  <c:v>0.4533318181828998</c:v>
                </c:pt>
                <c:pt idx="7">
                  <c:v>0.67265454545566472</c:v>
                </c:pt>
                <c:pt idx="8">
                  <c:v>0.89197727272842953</c:v>
                </c:pt>
                <c:pt idx="9">
                  <c:v>1.1113000000011943</c:v>
                </c:pt>
                <c:pt idx="10">
                  <c:v>1.330622727273959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v>CL TAT</c:v>
                </c15:tx>
              </c15:filteredSeriesTitle>
            </c:ext>
            <c:ext xmlns:c16="http://schemas.microsoft.com/office/drawing/2014/chart" uri="{C3380CC4-5D6E-409C-BE32-E72D297353CC}">
              <c16:uniqueId val="{00000001-0BE9-294F-89B6-989B42C55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5262895"/>
        <c:axId val="935243263"/>
      </c:lineChart>
      <c:catAx>
        <c:axId val="935262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0" i="1" u="none" strike="noStrike" kern="1200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C̃</a:t>
                </a:r>
                <a:r>
                  <a:rPr lang="en-US" sz="1200" b="0" i="1" u="none" strike="noStrike" kern="1200" baseline="-2500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</a:t>
                </a:r>
                <a:endParaRPr lang="en-US" sz="1200" b="0" i="0" u="none" strike="noStrike" kern="1200" baseline="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00" sourceLinked="0"/>
        <c:majorTickMark val="cross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35243263"/>
        <c:crossesAt val="-1.5"/>
        <c:auto val="1"/>
        <c:lblAlgn val="ctr"/>
        <c:lblOffset val="100"/>
        <c:noMultiLvlLbl val="1"/>
      </c:catAx>
      <c:valAx>
        <c:axId val="935243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1" u="none" strike="noStrike" kern="1200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C̃</a:t>
                </a:r>
                <a:r>
                  <a:rPr lang="en-US" sz="1200" b="0" i="1" u="none" strike="noStrike" kern="1200" baseline="-2500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</a:t>
                </a:r>
                <a:endParaRPr lang="en-US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cross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35262895"/>
        <c:crossesAt val="1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19050</xdr:rowOff>
    </xdr:from>
    <xdr:to>
      <xdr:col>6</xdr:col>
      <xdr:colOff>450850</xdr:colOff>
      <xdr:row>32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85E3E0-F4F3-DE1A-CD08-0D39A96D14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472036</xdr:colOff>
      <xdr:row>14</xdr:row>
      <xdr:rowOff>17944</xdr:rowOff>
    </xdr:from>
    <xdr:to>
      <xdr:col>12</xdr:col>
      <xdr:colOff>592668</xdr:colOff>
      <xdr:row>32</xdr:row>
      <xdr:rowOff>156634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76914E2-82BD-B440-8138-8BBEC2C18A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626534</xdr:colOff>
      <xdr:row>14</xdr:row>
      <xdr:rowOff>21166</xdr:rowOff>
    </xdr:from>
    <xdr:to>
      <xdr:col>18</xdr:col>
      <xdr:colOff>810666</xdr:colOff>
      <xdr:row>32</xdr:row>
      <xdr:rowOff>159856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1601BC6-D8AB-EB43-A1FF-8E6E3A1B5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34</xdr:row>
      <xdr:rowOff>0</xdr:rowOff>
    </xdr:from>
    <xdr:to>
      <xdr:col>6</xdr:col>
      <xdr:colOff>450850</xdr:colOff>
      <xdr:row>52</xdr:row>
      <xdr:rowOff>158750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DA3A4E1-31C2-A24E-A818-FAC5DBC996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34</xdr:row>
      <xdr:rowOff>0</xdr:rowOff>
    </xdr:from>
    <xdr:to>
      <xdr:col>13</xdr:col>
      <xdr:colOff>196832</xdr:colOff>
      <xdr:row>52</xdr:row>
      <xdr:rowOff>138690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7A1F6E8-7230-DF49-980E-A57E2A21B2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pm_resul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15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B15DC-762E-DE45-982E-48354BCC07B0}">
  <dimension ref="A1:U13"/>
  <sheetViews>
    <sheetView tabSelected="1" workbookViewId="0">
      <selection activeCell="H35" sqref="H35"/>
    </sheetView>
  </sheetViews>
  <sheetFormatPr baseColWidth="10" defaultRowHeight="16" x14ac:dyDescent="0.2"/>
  <cols>
    <col min="7" max="7" width="12.6640625" bestFit="1" customWidth="1"/>
    <col min="8" max="8" width="11.33203125" bestFit="1" customWidth="1"/>
    <col min="9" max="9" width="12.33203125" bestFit="1" customWidth="1"/>
    <col min="10" max="10" width="12.83203125" bestFit="1" customWidth="1"/>
    <col min="11" max="11" width="11.6640625" bestFit="1" customWidth="1"/>
    <col min="13" max="13" width="11.6640625" bestFit="1" customWidth="1"/>
  </cols>
  <sheetData>
    <row r="1" spans="1:21" x14ac:dyDescent="0.2">
      <c r="A1" s="1" t="s">
        <v>4</v>
      </c>
      <c r="B1" s="1"/>
      <c r="C1" s="1"/>
      <c r="D1" s="1"/>
      <c r="E1" s="1"/>
      <c r="F1" s="1"/>
      <c r="G1" s="1"/>
      <c r="J1" s="1" t="s">
        <v>26</v>
      </c>
      <c r="K1" s="1"/>
      <c r="L1" s="1"/>
      <c r="M1" s="1"/>
      <c r="N1" s="1"/>
      <c r="O1" s="1"/>
      <c r="Q1" s="1" t="s">
        <v>25</v>
      </c>
      <c r="R1" s="1"/>
      <c r="S1" s="1"/>
      <c r="T1" s="1"/>
      <c r="U1" s="1"/>
    </row>
    <row r="2" spans="1:21" x14ac:dyDescent="0.2">
      <c r="A2" t="s">
        <v>0</v>
      </c>
      <c r="B2" t="s">
        <v>5</v>
      </c>
      <c r="C2" t="s">
        <v>1</v>
      </c>
      <c r="D2" t="s">
        <v>2</v>
      </c>
      <c r="E2" t="s">
        <v>3</v>
      </c>
      <c r="F2" t="s">
        <v>10</v>
      </c>
      <c r="G2">
        <v>6.2831333120141108</v>
      </c>
      <c r="J2" t="s">
        <v>6</v>
      </c>
      <c r="K2" t="s">
        <v>2</v>
      </c>
      <c r="L2" t="s">
        <v>14</v>
      </c>
      <c r="M2" t="s">
        <v>18</v>
      </c>
      <c r="N2" t="s">
        <v>19</v>
      </c>
      <c r="O2" t="s">
        <v>20</v>
      </c>
      <c r="Q2" t="s">
        <v>12</v>
      </c>
      <c r="R2" t="s">
        <v>7</v>
      </c>
      <c r="S2" t="s">
        <v>8</v>
      </c>
      <c r="T2" t="s">
        <v>9</v>
      </c>
      <c r="U2">
        <v>6.3059903855677666</v>
      </c>
    </row>
    <row r="3" spans="1:21" x14ac:dyDescent="0.2">
      <c r="A3">
        <v>-10</v>
      </c>
      <c r="B3">
        <f>RADIANS(A3)</f>
        <v>-0.17453292519943295</v>
      </c>
      <c r="C3">
        <v>-0.86229999999999996</v>
      </c>
      <c r="D3">
        <v>1.0460000000000001E-2</v>
      </c>
      <c r="E3">
        <v>-5.6500000000000002E-2</v>
      </c>
      <c r="F3" t="s">
        <v>11</v>
      </c>
      <c r="G3" s="4">
        <v>-3.7244011751697399E-2</v>
      </c>
      <c r="J3" s="4">
        <f>G$2*(B3-G$3)</f>
        <v>-0.86260454545368925</v>
      </c>
      <c r="K3" s="3">
        <f>G$5+(G$6*J3)+(G$7*J3^2)</f>
        <v>1.076055943987681E-2</v>
      </c>
      <c r="L3">
        <v>-5.6500000000000002E-2</v>
      </c>
      <c r="M3">
        <f>(C3-J3)^2</f>
        <v>9.2747933362820197E-8</v>
      </c>
      <c r="N3">
        <f>(D3-K3)^2</f>
        <v>9.0335976899061272E-8</v>
      </c>
      <c r="O3">
        <f>(E3-L3)^2</f>
        <v>0</v>
      </c>
      <c r="P3" s="4"/>
      <c r="Q3">
        <f>U$2*(SIN(B3)-TAN(U$3)*COS(B3))</f>
        <v>-0.86313031380438598</v>
      </c>
      <c r="R3">
        <f>(C3-Q3)^2</f>
        <v>6.8942101375400111E-7</v>
      </c>
      <c r="S3">
        <f>SQRT(AVERAGE(R3:R13))</f>
        <v>9.5853741423627715E-3</v>
      </c>
      <c r="T3" t="s">
        <v>13</v>
      </c>
      <c r="U3" s="2">
        <v>-3.7323463916006425E-2</v>
      </c>
    </row>
    <row r="4" spans="1:21" x14ac:dyDescent="0.2">
      <c r="A4">
        <f>A3+2</f>
        <v>-8</v>
      </c>
      <c r="B4">
        <f t="shared" ref="B4:B13" si="0">RADIANS(A4)</f>
        <v>-0.13962634015954636</v>
      </c>
      <c r="C4">
        <v>-0.65129999999999999</v>
      </c>
      <c r="D4">
        <v>8.5699999999999995E-3</v>
      </c>
      <c r="E4">
        <v>-5.4100000000000002E-2</v>
      </c>
      <c r="F4" t="s">
        <v>21</v>
      </c>
      <c r="J4" s="4">
        <f>G$2*(B4-G$3)</f>
        <v>-0.64328181818092445</v>
      </c>
      <c r="K4" s="3">
        <f t="shared" ref="K4:K13" si="1">G$5+(G$6*J4)+(G$7*J4^2)</f>
        <v>8.676587411334466E-3</v>
      </c>
      <c r="L4">
        <v>-5.4100000000000002E-2</v>
      </c>
      <c r="M4">
        <f>(C4-J4)^2</f>
        <v>6.4291239683753583E-5</v>
      </c>
      <c r="N4">
        <f t="shared" ref="N4:N13" si="2">(D4-K4)^2</f>
        <v>1.1360876254982755E-8</v>
      </c>
      <c r="O4">
        <f>(E4-L4)^2</f>
        <v>0</v>
      </c>
      <c r="Q4">
        <f>U$2*(SIN(B4)-TAN(U$3)*COS(B4))</f>
        <v>-0.64444506688239123</v>
      </c>
      <c r="R4">
        <f>(C4-Q4)^2</f>
        <v>4.6990108046889404E-5</v>
      </c>
    </row>
    <row r="5" spans="1:21" x14ac:dyDescent="0.2">
      <c r="A5">
        <f t="shared" ref="A5:A13" si="3">A4+2</f>
        <v>-6</v>
      </c>
      <c r="B5">
        <f t="shared" si="0"/>
        <v>-0.10471975511965978</v>
      </c>
      <c r="C5">
        <v>-0.43140000000000001</v>
      </c>
      <c r="D5">
        <v>7.2700000000000004E-3</v>
      </c>
      <c r="E5">
        <v>-5.2999999999999999E-2</v>
      </c>
      <c r="F5" t="s">
        <v>22</v>
      </c>
      <c r="G5">
        <v>5.4076866340265171E-3</v>
      </c>
      <c r="J5" s="4">
        <f>G$2*(B5-G$3)</f>
        <v>-0.4239590909081597</v>
      </c>
      <c r="K5" s="3">
        <f t="shared" si="1"/>
        <v>7.0855990659446045E-3</v>
      </c>
      <c r="L5">
        <v>-5.2999999999999999E-2</v>
      </c>
      <c r="M5">
        <f>(C5-J5)^2</f>
        <v>5.5367128113031767E-5</v>
      </c>
      <c r="N5">
        <f t="shared" si="2"/>
        <v>3.4003704480502464E-8</v>
      </c>
      <c r="O5">
        <f>(E5-L5)^2</f>
        <v>0</v>
      </c>
      <c r="Q5">
        <f>U$2*(SIN(B5)-TAN(U$3)*COS(B5))</f>
        <v>-0.42497466291555275</v>
      </c>
      <c r="R5">
        <f>(C5-Q5)^2</f>
        <v>4.1284956648773192E-5</v>
      </c>
    </row>
    <row r="6" spans="1:21" x14ac:dyDescent="0.2">
      <c r="A6">
        <f t="shared" si="3"/>
        <v>-4</v>
      </c>
      <c r="B6">
        <f t="shared" si="0"/>
        <v>-6.9813170079773182E-2</v>
      </c>
      <c r="C6">
        <v>-0.2077</v>
      </c>
      <c r="D6">
        <v>6.4099999999999999E-3</v>
      </c>
      <c r="E6">
        <v>-5.2600000000000001E-2</v>
      </c>
      <c r="F6" t="s">
        <v>23</v>
      </c>
      <c r="G6">
        <v>-1.7852252921561865E-3</v>
      </c>
      <c r="J6" s="4">
        <f>G$2*(B6-G$3)</f>
        <v>-0.20463636363539475</v>
      </c>
      <c r="K6" s="3">
        <f t="shared" si="1"/>
        <v>5.9875944037072262E-3</v>
      </c>
      <c r="L6">
        <v>-5.2600000000000001E-2</v>
      </c>
      <c r="M6">
        <f>(C6-J6)^2</f>
        <v>9.3858677745316322E-6</v>
      </c>
      <c r="N6">
        <f t="shared" si="2"/>
        <v>1.784264877794537E-7</v>
      </c>
      <c r="O6">
        <f>(E6-L6)^2</f>
        <v>0</v>
      </c>
      <c r="Q6">
        <f>U$2*(SIN(B6)-TAN(U$3)*COS(B6))</f>
        <v>-0.20498649278428027</v>
      </c>
      <c r="R6">
        <f>(C6-Q6)^2</f>
        <v>7.3631214097630072E-6</v>
      </c>
    </row>
    <row r="7" spans="1:21" x14ac:dyDescent="0.2">
      <c r="A7">
        <f t="shared" si="3"/>
        <v>-2</v>
      </c>
      <c r="B7">
        <f t="shared" si="0"/>
        <v>-3.4906585039886591E-2</v>
      </c>
      <c r="C7">
        <v>1.7100000000000001E-2</v>
      </c>
      <c r="D7">
        <v>5.8399999999999997E-3</v>
      </c>
      <c r="E7">
        <v>-5.2499999999999998E-2</v>
      </c>
      <c r="F7" t="s">
        <v>24</v>
      </c>
      <c r="G7">
        <v>5.1243085747845031E-3</v>
      </c>
      <c r="J7" s="4">
        <f>G$2*(B7-G$3)</f>
        <v>1.4686363637370097E-2</v>
      </c>
      <c r="K7" s="3">
        <f t="shared" si="1"/>
        <v>5.3825734246223328E-3</v>
      </c>
      <c r="L7">
        <v>-5.2499999999999998E-2</v>
      </c>
      <c r="M7">
        <f>(C7-J7)^2</f>
        <v>5.8256404910093125E-6</v>
      </c>
      <c r="N7">
        <f t="shared" si="2"/>
        <v>2.0923907186174036E-7</v>
      </c>
      <c r="O7">
        <f>(E7-L7)^2</f>
        <v>0</v>
      </c>
      <c r="Q7">
        <f>U$2*(SIN(B7)-TAN(U$3)*COS(B7))</f>
        <v>1.5251421812701347E-2</v>
      </c>
      <c r="R7">
        <f>(C7-Q7)^2</f>
        <v>3.4172413145563776E-6</v>
      </c>
    </row>
    <row r="8" spans="1:21" x14ac:dyDescent="0.2">
      <c r="A8">
        <f t="shared" si="3"/>
        <v>0</v>
      </c>
      <c r="B8">
        <f t="shared" si="0"/>
        <v>0</v>
      </c>
      <c r="C8">
        <v>0.24210000000000001</v>
      </c>
      <c r="D8">
        <v>5.4799999999999996E-3</v>
      </c>
      <c r="E8">
        <v>-5.2699999999999997E-2</v>
      </c>
      <c r="F8" t="s">
        <v>15</v>
      </c>
      <c r="G8" s="3">
        <f>SQRT(AVERAGE(M3:M13))</f>
        <v>1.1066543653270915E-2</v>
      </c>
      <c r="J8" s="4">
        <f>G$2*(B8-G$3)</f>
        <v>0.23400909091013494</v>
      </c>
      <c r="K8" s="3">
        <f t="shared" si="1"/>
        <v>5.2705361286899234E-3</v>
      </c>
      <c r="L8">
        <v>-5.2699999999999997E-2</v>
      </c>
      <c r="M8">
        <f>(C8-J8)^2</f>
        <v>6.5462809900461167E-5</v>
      </c>
      <c r="N8">
        <f t="shared" si="2"/>
        <v>4.3875113384204153E-8</v>
      </c>
      <c r="O8">
        <f>(E8-L8)^2</f>
        <v>0</v>
      </c>
      <c r="Q8">
        <f>U$2*(SIN(B8)-TAN(U$3)*COS(B8))</f>
        <v>0.23547075490150557</v>
      </c>
      <c r="R8">
        <f>(C8-Q8)^2</f>
        <v>4.3946890575912565E-5</v>
      </c>
    </row>
    <row r="9" spans="1:21" x14ac:dyDescent="0.2">
      <c r="A9">
        <f t="shared" si="3"/>
        <v>2</v>
      </c>
      <c r="B9">
        <f t="shared" si="0"/>
        <v>3.4906585039886591E-2</v>
      </c>
      <c r="C9">
        <v>0.46510000000000001</v>
      </c>
      <c r="D9">
        <v>5.11E-3</v>
      </c>
      <c r="E9">
        <v>-5.2600000000000001E-2</v>
      </c>
      <c r="F9" t="s">
        <v>16</v>
      </c>
      <c r="G9" s="5">
        <f>SQRT(AVERAGE(N3:N13))</f>
        <v>3.8192460499309432E-4</v>
      </c>
      <c r="J9" s="4">
        <f>G$2*(B9-G$3)</f>
        <v>0.4533318181828998</v>
      </c>
      <c r="K9" s="3">
        <f t="shared" si="1"/>
        <v>5.6514825159099972E-3</v>
      </c>
      <c r="L9">
        <v>-5.2600000000000001E-2</v>
      </c>
      <c r="M9">
        <f>(C9-J9)^2</f>
        <v>1.3849010328032799E-4</v>
      </c>
      <c r="N9">
        <f t="shared" si="2"/>
        <v>2.9320331503622041E-7</v>
      </c>
      <c r="O9">
        <f>(E9-L9)^2</f>
        <v>0</v>
      </c>
      <c r="Q9">
        <f>U$2*(SIN(B9)-TAN(U$3)*COS(B9))</f>
        <v>0.45540320314695149</v>
      </c>
      <c r="R9">
        <f>(C9-Q9)^2</f>
        <v>9.4027869209291836E-5</v>
      </c>
    </row>
    <row r="10" spans="1:21" x14ac:dyDescent="0.2">
      <c r="A10">
        <f t="shared" si="3"/>
        <v>4</v>
      </c>
      <c r="B10">
        <f t="shared" si="0"/>
        <v>6.9813170079773182E-2</v>
      </c>
      <c r="C10">
        <v>0.67669999999999997</v>
      </c>
      <c r="D10">
        <v>5.7299999999999999E-3</v>
      </c>
      <c r="E10">
        <v>-4.9500000000000002E-2</v>
      </c>
      <c r="F10" t="s">
        <v>17</v>
      </c>
      <c r="G10">
        <f>SQRT(AVERAGE(O3:O13))</f>
        <v>0</v>
      </c>
      <c r="J10" s="4">
        <f>G$2*(B10-G$3)</f>
        <v>0.67265454545566472</v>
      </c>
      <c r="K10" s="3">
        <f t="shared" si="1"/>
        <v>6.525412586282555E-3</v>
      </c>
      <c r="L10">
        <v>-4.9500000000000002E-2</v>
      </c>
      <c r="M10">
        <f>(C10-J10)^2</f>
        <v>1.6365702470282705E-5</v>
      </c>
      <c r="N10">
        <f t="shared" si="2"/>
        <v>6.3268118241670328E-7</v>
      </c>
      <c r="O10">
        <f>(E10-L10)^2</f>
        <v>0</v>
      </c>
      <c r="Q10">
        <f>U$2*(SIN(B10)-TAN(U$3)*COS(B10))</f>
        <v>0.67478081273884871</v>
      </c>
      <c r="R10">
        <f>(C10-Q10)^2</f>
        <v>3.6832797433652599E-6</v>
      </c>
    </row>
    <row r="11" spans="1:21" x14ac:dyDescent="0.2">
      <c r="A11">
        <f t="shared" si="3"/>
        <v>6</v>
      </c>
      <c r="B11">
        <f t="shared" si="0"/>
        <v>0.10471975511965978</v>
      </c>
      <c r="C11">
        <v>0.9113</v>
      </c>
      <c r="D11">
        <v>7.9000000000000008E-3</v>
      </c>
      <c r="E11">
        <v>-5.2999999999999999E-2</v>
      </c>
      <c r="J11" s="4">
        <f>G$2*(B11-G$3)</f>
        <v>0.89197727272842953</v>
      </c>
      <c r="K11" s="3">
        <f t="shared" si="1"/>
        <v>7.8923263398075968E-3</v>
      </c>
      <c r="L11">
        <v>-5.2999999999999999E-2</v>
      </c>
      <c r="M11">
        <f>(C11-J11)^2</f>
        <v>3.7336778921149329E-4</v>
      </c>
      <c r="N11">
        <f t="shared" si="2"/>
        <v>5.8885060748484647E-11</v>
      </c>
      <c r="O11">
        <f>(E11-L11)^2</f>
        <v>0</v>
      </c>
      <c r="Q11">
        <f>U$2*(SIN(B11)-TAN(U$3)*COS(B11))</f>
        <v>0.89333630585243973</v>
      </c>
      <c r="R11">
        <f>(C11-Q11)^2</f>
        <v>3.2269430742709116E-4</v>
      </c>
    </row>
    <row r="12" spans="1:21" x14ac:dyDescent="0.2">
      <c r="A12">
        <f t="shared" si="3"/>
        <v>8</v>
      </c>
      <c r="B12">
        <f t="shared" si="0"/>
        <v>0.13962634015954636</v>
      </c>
      <c r="C12">
        <v>1.1086</v>
      </c>
      <c r="D12">
        <v>1.0030000000000001E-2</v>
      </c>
      <c r="E12">
        <v>-4.8399999999999999E-2</v>
      </c>
      <c r="J12" s="4">
        <f>G$2*(B12-G$3)</f>
        <v>1.1113000000011943</v>
      </c>
      <c r="K12" s="3">
        <f t="shared" si="1"/>
        <v>9.7522237764851236E-3</v>
      </c>
      <c r="L12">
        <v>-4.8399999999999999E-2</v>
      </c>
      <c r="M12">
        <f>(C12-J12)^2</f>
        <v>7.290000006449234E-6</v>
      </c>
      <c r="N12">
        <f t="shared" si="2"/>
        <v>7.7159630350186997E-8</v>
      </c>
      <c r="O12">
        <f>(E12-L12)^2</f>
        <v>0</v>
      </c>
      <c r="Q12">
        <f>U$2*(SIN(B12)-TAN(U$3)*COS(B12))</f>
        <v>1.1108034062852583</v>
      </c>
      <c r="R12">
        <f>(C12-Q12)^2</f>
        <v>4.8549992579156937E-6</v>
      </c>
    </row>
    <row r="13" spans="1:21" x14ac:dyDescent="0.2">
      <c r="A13">
        <f t="shared" si="3"/>
        <v>10</v>
      </c>
      <c r="B13">
        <f t="shared" si="0"/>
        <v>0.17453292519943295</v>
      </c>
      <c r="C13">
        <v>1.3059000000000001</v>
      </c>
      <c r="D13">
        <v>1.2290000000000001E-2</v>
      </c>
      <c r="E13">
        <v>-4.4600000000000001E-2</v>
      </c>
      <c r="J13" s="4">
        <f>G$2*(B13-G$3)</f>
        <v>1.330622727273959</v>
      </c>
      <c r="K13" s="3">
        <f t="shared" si="1"/>
        <v>1.2105104896315132E-2</v>
      </c>
      <c r="L13">
        <v>-4.4600000000000001E-2</v>
      </c>
      <c r="M13">
        <f>(C13-J13)^2</f>
        <v>6.112132438625546E-4</v>
      </c>
      <c r="N13">
        <f t="shared" si="2"/>
        <v>3.418619936663841E-8</v>
      </c>
      <c r="O13">
        <f>(E13-L13)^2</f>
        <v>0</v>
      </c>
      <c r="Q13">
        <f>U$2*(SIN(B13)-TAN(U$3)*COS(B13))</f>
        <v>1.3269171638736661</v>
      </c>
      <c r="R13">
        <f>(C13-Q13)^2</f>
        <v>4.4172117729253266E-4</v>
      </c>
    </row>
  </sheetData>
  <mergeCells count="3">
    <mergeCell ref="A1:G1"/>
    <mergeCell ref="J1:O1"/>
    <mergeCell ref="Q1:U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Montgomery</dc:creator>
  <cp:lastModifiedBy>Alexis Montgomery</cp:lastModifiedBy>
  <dcterms:created xsi:type="dcterms:W3CDTF">2026-10-21T03:31:25Z</dcterms:created>
  <dcterms:modified xsi:type="dcterms:W3CDTF">2026-10-21T18:05:14Z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2026-10-21T03:31:29Z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42804ae1-d2e9-40b7-a4a3-45811234298b</vt:lpwstr>
  </property>
  <property fmtid="{D5CDD505-2E9C-101B-9397-08002B2CF9AE}" pid="7" name="MSIP_Label_defa4170-0d19-0005-0004-bc88714345d2_ActionId">
    <vt:lpwstr>b0f655ca-9c81-4094-b64a-7051ed73dcfa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