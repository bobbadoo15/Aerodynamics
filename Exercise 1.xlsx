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nton/Personal/School/Aerodynamics/"/>
    </mc:Choice>
  </mc:AlternateContent>
  <xr:revisionPtr revIDLastSave="0" documentId="13_ncr:1_{3CD7461E-4FE3-C345-A5C3-637CDADA8C06}" xr6:coauthVersionLast="47" xr6:coauthVersionMax="47" xr10:uidLastSave="{00000000-0000-0000-0000-000000000000}"/>
  <bookViews>
    <workbookView xWindow="0" yWindow="660" windowWidth="28800" windowHeight="17980" xr2:uid="{02A8CD59-EAAF-B948-9B5A-45C6C4B7C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K2" i="1"/>
  <c r="R5" i="1"/>
  <c r="K3" i="1" s="1"/>
  <c r="R3" i="1"/>
  <c r="Q3" i="1"/>
  <c r="F2" i="1"/>
  <c r="J2" i="1" s="1"/>
  <c r="Q67" i="1"/>
  <c r="T66" i="1" s="1"/>
  <c r="C70" i="1"/>
  <c r="D70" i="1" s="1"/>
  <c r="F70" i="1" s="1"/>
  <c r="C72" i="1"/>
  <c r="D72" i="1" s="1"/>
  <c r="F72" i="1" s="1"/>
  <c r="C66" i="1"/>
  <c r="D66" i="1" s="1"/>
  <c r="F66" i="1" s="1"/>
  <c r="B68" i="1"/>
  <c r="B69" i="1" s="1"/>
  <c r="B70" i="1" s="1"/>
  <c r="B71" i="1" s="1"/>
  <c r="B72" i="1" s="1"/>
  <c r="B73" i="1" s="1"/>
  <c r="B74" i="1" s="1"/>
  <c r="B75" i="1" s="1"/>
  <c r="B67" i="1"/>
  <c r="C67" i="1" s="1"/>
  <c r="I5" i="1"/>
  <c r="J5" i="1" s="1"/>
  <c r="I13" i="1"/>
  <c r="J13" i="1" s="1"/>
  <c r="I21" i="1"/>
  <c r="J21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F3" i="1"/>
  <c r="I3" i="1" s="1"/>
  <c r="J3" i="1" s="1"/>
  <c r="F4" i="1"/>
  <c r="I4" i="1" s="1"/>
  <c r="J4" i="1" s="1"/>
  <c r="F5" i="1"/>
  <c r="F6" i="1"/>
  <c r="I6" i="1" s="1"/>
  <c r="J6" i="1" s="1"/>
  <c r="F7" i="1"/>
  <c r="I7" i="1" s="1"/>
  <c r="J7" i="1" s="1"/>
  <c r="F8" i="1"/>
  <c r="I8" i="1" s="1"/>
  <c r="J8" i="1" s="1"/>
  <c r="F9" i="1"/>
  <c r="I9" i="1" s="1"/>
  <c r="J9" i="1" s="1"/>
  <c r="F10" i="1"/>
  <c r="I10" i="1" s="1"/>
  <c r="J10" i="1" s="1"/>
  <c r="F11" i="1"/>
  <c r="I11" i="1" s="1"/>
  <c r="J11" i="1" s="1"/>
  <c r="F12" i="1"/>
  <c r="I12" i="1" s="1"/>
  <c r="J12" i="1" s="1"/>
  <c r="F13" i="1"/>
  <c r="F14" i="1"/>
  <c r="I14" i="1" s="1"/>
  <c r="J14" i="1" s="1"/>
  <c r="F15" i="1"/>
  <c r="I15" i="1" s="1"/>
  <c r="J15" i="1" s="1"/>
  <c r="F16" i="1"/>
  <c r="I16" i="1" s="1"/>
  <c r="J16" i="1" s="1"/>
  <c r="F17" i="1"/>
  <c r="I17" i="1" s="1"/>
  <c r="J17" i="1" s="1"/>
  <c r="F18" i="1"/>
  <c r="I18" i="1" s="1"/>
  <c r="J18" i="1" s="1"/>
  <c r="F19" i="1"/>
  <c r="I19" i="1" s="1"/>
  <c r="J19" i="1" s="1"/>
  <c r="F20" i="1"/>
  <c r="I20" i="1" s="1"/>
  <c r="J20" i="1" s="1"/>
  <c r="F21" i="1"/>
  <c r="F22" i="1"/>
  <c r="I22" i="1" s="1"/>
  <c r="J22" i="1" s="1"/>
  <c r="D67" i="1" l="1"/>
  <c r="F67" i="1" s="1"/>
  <c r="E67" i="1"/>
  <c r="B76" i="1"/>
  <c r="C75" i="1"/>
  <c r="G66" i="1"/>
  <c r="H66" i="1" s="1"/>
  <c r="I66" i="1" s="1"/>
  <c r="C69" i="1"/>
  <c r="C68" i="1"/>
  <c r="G67" i="1"/>
  <c r="H67" i="1" s="1"/>
  <c r="I67" i="1" s="1"/>
  <c r="E72" i="1"/>
  <c r="T2" i="1"/>
  <c r="E66" i="1"/>
  <c r="C74" i="1"/>
  <c r="E70" i="1"/>
  <c r="G70" i="1" s="1"/>
  <c r="H70" i="1" s="1"/>
  <c r="I70" i="1" s="1"/>
  <c r="C73" i="1"/>
  <c r="C71" i="1"/>
  <c r="K18" i="1"/>
  <c r="K10" i="1"/>
  <c r="K9" i="1"/>
  <c r="K16" i="1"/>
  <c r="K15" i="1"/>
  <c r="K21" i="1"/>
  <c r="K5" i="1"/>
  <c r="K17" i="1"/>
  <c r="K8" i="1"/>
  <c r="K7" i="1"/>
  <c r="K22" i="1"/>
  <c r="K6" i="1"/>
  <c r="K13" i="1"/>
  <c r="K20" i="1"/>
  <c r="K12" i="1"/>
  <c r="K4" i="1"/>
  <c r="K14" i="1"/>
  <c r="K19" i="1"/>
  <c r="K11" i="1"/>
  <c r="G72" i="1"/>
  <c r="H72" i="1" s="1"/>
  <c r="I72" i="1" s="1"/>
  <c r="B77" i="1" l="1"/>
  <c r="C76" i="1"/>
  <c r="D73" i="1"/>
  <c r="F73" i="1" s="1"/>
  <c r="E73" i="1"/>
  <c r="G73" i="1" s="1"/>
  <c r="H73" i="1" s="1"/>
  <c r="I73" i="1" s="1"/>
  <c r="D74" i="1"/>
  <c r="F74" i="1" s="1"/>
  <c r="D75" i="1"/>
  <c r="F75" i="1" s="1"/>
  <c r="D69" i="1"/>
  <c r="F69" i="1" s="1"/>
  <c r="E69" i="1"/>
  <c r="G69" i="1" s="1"/>
  <c r="H69" i="1" s="1"/>
  <c r="I69" i="1" s="1"/>
  <c r="D71" i="1"/>
  <c r="F71" i="1" s="1"/>
  <c r="E71" i="1"/>
  <c r="G71" i="1" s="1"/>
  <c r="H71" i="1" s="1"/>
  <c r="I71" i="1" s="1"/>
  <c r="D68" i="1"/>
  <c r="F68" i="1" s="1"/>
  <c r="E68" i="1"/>
  <c r="G68" i="1" s="1"/>
  <c r="H68" i="1" s="1"/>
  <c r="I68" i="1" s="1"/>
  <c r="E74" i="1" l="1"/>
  <c r="G74" i="1" s="1"/>
  <c r="H74" i="1" s="1"/>
  <c r="I74" i="1" s="1"/>
  <c r="D76" i="1"/>
  <c r="F76" i="1" s="1"/>
  <c r="E75" i="1"/>
  <c r="G75" i="1" s="1"/>
  <c r="H75" i="1" s="1"/>
  <c r="I75" i="1" s="1"/>
  <c r="B78" i="1"/>
  <c r="C77" i="1"/>
  <c r="D77" i="1" l="1"/>
  <c r="F77" i="1" s="1"/>
  <c r="E77" i="1"/>
  <c r="G77" i="1" s="1"/>
  <c r="H77" i="1" s="1"/>
  <c r="I77" i="1" s="1"/>
  <c r="C78" i="1"/>
  <c r="B79" i="1"/>
  <c r="E76" i="1"/>
  <c r="G76" i="1" s="1"/>
  <c r="H76" i="1" s="1"/>
  <c r="I76" i="1" s="1"/>
  <c r="B80" i="1" l="1"/>
  <c r="C79" i="1"/>
  <c r="D78" i="1"/>
  <c r="F78" i="1" s="1"/>
  <c r="G78" i="1" s="1"/>
  <c r="H78" i="1" s="1"/>
  <c r="I78" i="1" s="1"/>
  <c r="E78" i="1"/>
  <c r="D79" i="1" l="1"/>
  <c r="F79" i="1" s="1"/>
  <c r="E79" i="1"/>
  <c r="G79" i="1" s="1"/>
  <c r="H79" i="1" s="1"/>
  <c r="I79" i="1" s="1"/>
  <c r="B81" i="1"/>
  <c r="C80" i="1"/>
  <c r="D80" i="1" l="1"/>
  <c r="F80" i="1" s="1"/>
  <c r="E80" i="1"/>
  <c r="G80" i="1" s="1"/>
  <c r="H80" i="1" s="1"/>
  <c r="I80" i="1" s="1"/>
  <c r="B82" i="1"/>
  <c r="C81" i="1"/>
  <c r="D81" i="1" l="1"/>
  <c r="F81" i="1" s="1"/>
  <c r="E81" i="1"/>
  <c r="G81" i="1" s="1"/>
  <c r="H81" i="1" s="1"/>
  <c r="I81" i="1" s="1"/>
  <c r="B83" i="1"/>
  <c r="C82" i="1"/>
  <c r="D82" i="1" l="1"/>
  <c r="F82" i="1" s="1"/>
  <c r="B84" i="1"/>
  <c r="C83" i="1"/>
  <c r="D83" i="1" l="1"/>
  <c r="F83" i="1" s="1"/>
  <c r="E83" i="1"/>
  <c r="G83" i="1" s="1"/>
  <c r="H83" i="1" s="1"/>
  <c r="I83" i="1" s="1"/>
  <c r="B85" i="1"/>
  <c r="C84" i="1"/>
  <c r="E82" i="1"/>
  <c r="G82" i="1" s="1"/>
  <c r="H82" i="1" s="1"/>
  <c r="I82" i="1" s="1"/>
  <c r="B86" i="1" l="1"/>
  <c r="C85" i="1"/>
  <c r="D84" i="1"/>
  <c r="F84" i="1" s="1"/>
  <c r="E84" i="1"/>
  <c r="G84" i="1" s="1"/>
  <c r="H84" i="1" s="1"/>
  <c r="I84" i="1" s="1"/>
  <c r="D85" i="1" l="1"/>
  <c r="F85" i="1" s="1"/>
  <c r="E85" i="1"/>
  <c r="G85" i="1" s="1"/>
  <c r="H85" i="1" s="1"/>
  <c r="I85" i="1" s="1"/>
  <c r="C86" i="1"/>
  <c r="D86" i="1" l="1"/>
  <c r="F86" i="1" s="1"/>
  <c r="E86" i="1"/>
  <c r="G86" i="1" s="1"/>
  <c r="H86" i="1" s="1"/>
  <c r="I86" i="1" s="1"/>
</calcChain>
</file>

<file path=xl/sharedStrings.xml><?xml version="1.0" encoding="utf-8"?>
<sst xmlns="http://schemas.openxmlformats.org/spreadsheetml/2006/main" count="50" uniqueCount="23">
  <si>
    <t>XFOIL Re = 3.1 x 10^6</t>
  </si>
  <si>
    <t>399 panels, ncrit = 9</t>
  </si>
  <si>
    <r>
      <t>C̃</t>
    </r>
    <r>
      <rPr>
        <i/>
        <vertAlign val="subscript"/>
        <sz val="12"/>
        <color theme="1"/>
        <rFont val="Times New Roman"/>
        <family val="1"/>
      </rPr>
      <t>L</t>
    </r>
  </si>
  <si>
    <r>
      <t>C̃</t>
    </r>
    <r>
      <rPr>
        <i/>
        <vertAlign val="subscript"/>
        <sz val="12"/>
        <color theme="1"/>
        <rFont val="Times New Roman"/>
        <family val="1"/>
      </rPr>
      <t>D</t>
    </r>
  </si>
  <si>
    <r>
      <t>C̃</t>
    </r>
    <r>
      <rPr>
        <i/>
        <vertAlign val="subscript"/>
        <sz val="12"/>
        <color theme="1"/>
        <rFont val="Times New Roman"/>
        <family val="1"/>
      </rPr>
      <t>N</t>
    </r>
  </si>
  <si>
    <r>
      <t>C̃</t>
    </r>
    <r>
      <rPr>
        <i/>
        <vertAlign val="subscript"/>
        <sz val="12"/>
        <color theme="1"/>
        <rFont val="Times New Roman"/>
        <family val="1"/>
      </rPr>
      <t>A</t>
    </r>
  </si>
  <si>
    <t>0_Line</t>
  </si>
  <si>
    <r>
      <t>C̃</t>
    </r>
    <r>
      <rPr>
        <i/>
        <vertAlign val="subscript"/>
        <sz val="12"/>
        <color theme="1"/>
        <rFont val="Times New Roman"/>
        <family val="1"/>
      </rPr>
      <t>m,le</t>
    </r>
  </si>
  <si>
    <r>
      <t>C̃</t>
    </r>
    <r>
      <rPr>
        <i/>
        <vertAlign val="subscript"/>
        <sz val="12"/>
        <color theme="1"/>
        <rFont val="Times New Roman"/>
        <family val="1"/>
      </rPr>
      <t>m,c/4</t>
    </r>
  </si>
  <si>
    <r>
      <t>x</t>
    </r>
    <r>
      <rPr>
        <i/>
        <vertAlign val="subscript"/>
        <sz val="12"/>
        <color theme="1"/>
        <rFont val="Times New Roman"/>
        <family val="1"/>
      </rPr>
      <t>cp</t>
    </r>
    <r>
      <rPr>
        <i/>
        <sz val="12"/>
        <color theme="1"/>
        <rFont val="Times New Roman"/>
        <family val="1"/>
      </rPr>
      <t>/c</t>
    </r>
  </si>
  <si>
    <r>
      <t>x</t>
    </r>
    <r>
      <rPr>
        <i/>
        <vertAlign val="subscript"/>
        <sz val="12"/>
        <color theme="1"/>
        <rFont val="Times New Roman"/>
        <family val="1"/>
      </rPr>
      <t>ac</t>
    </r>
    <r>
      <rPr>
        <i/>
        <sz val="12"/>
        <color theme="1"/>
        <rFont val="Times New Roman"/>
        <family val="1"/>
      </rPr>
      <t>/c</t>
    </r>
  </si>
  <si>
    <t>𝛼 (deg)</t>
  </si>
  <si>
    <r>
      <t>C̃</t>
    </r>
    <r>
      <rPr>
        <i/>
        <vertAlign val="subscript"/>
        <sz val="12"/>
        <color theme="1"/>
        <rFont val="Times New Roman"/>
        <family val="1"/>
      </rPr>
      <t xml:space="preserve">N,𝛼 </t>
    </r>
  </si>
  <si>
    <r>
      <t>C̃</t>
    </r>
    <r>
      <rPr>
        <i/>
        <vertAlign val="subscript"/>
        <sz val="12"/>
        <color theme="1"/>
        <rFont val="Times New Roman"/>
        <family val="1"/>
      </rPr>
      <t xml:space="preserve">mle,𝛼 </t>
    </r>
  </si>
  <si>
    <r>
      <t>C̃</t>
    </r>
    <r>
      <rPr>
        <i/>
        <vertAlign val="subscript"/>
        <sz val="12"/>
        <color theme="1"/>
        <rFont val="Times New Roman"/>
        <family val="1"/>
      </rPr>
      <t>mle</t>
    </r>
  </si>
  <si>
    <r>
      <rPr>
        <i/>
        <sz val="12"/>
        <color theme="1"/>
        <rFont val="Times New Roman"/>
        <family val="1"/>
      </rPr>
      <t>x</t>
    </r>
    <r>
      <rPr>
        <i/>
        <vertAlign val="superscript"/>
        <sz val="12"/>
        <color theme="1"/>
        <rFont val="Times New Roman"/>
        <family val="1"/>
      </rPr>
      <t>2</t>
    </r>
  </si>
  <si>
    <t>x</t>
  </si>
  <si>
    <r>
      <t>C̃</t>
    </r>
    <r>
      <rPr>
        <i/>
        <vertAlign val="subscript"/>
        <sz val="12"/>
        <color theme="1"/>
        <rFont val="Times New Roman"/>
        <family val="1"/>
      </rPr>
      <t>D,𝛼</t>
    </r>
  </si>
  <si>
    <r>
      <t>C̃</t>
    </r>
    <r>
      <rPr>
        <i/>
        <vertAlign val="subscript"/>
        <sz val="12"/>
        <color theme="1"/>
        <rFont val="Times New Roman"/>
        <family val="1"/>
      </rPr>
      <t>L,𝛼</t>
    </r>
  </si>
  <si>
    <t>-</t>
  </si>
  <si>
    <t>c</t>
  </si>
  <si>
    <r>
      <t>C̃</t>
    </r>
    <r>
      <rPr>
        <i/>
        <vertAlign val="subscript"/>
        <sz val="12"/>
        <color theme="1"/>
        <rFont val="Times New Roman"/>
        <family val="1"/>
      </rPr>
      <t>mc/4,𝛼</t>
    </r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</si>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</sst>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i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C̃L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Sheet1!$C$2:$C$22</c:f>
              <c:numCache>
                <c:formatCode>General</c:formatCode>
                <c:ptCount val="21"/>
                <c:pt idx="0">
                  <c:v>-0.86240000000000006</c:v>
                </c:pt>
                <c:pt idx="1">
                  <c:v>-0.75739999999999996</c:v>
                </c:pt>
                <c:pt idx="2">
                  <c:v>-0.65200000000000002</c:v>
                </c:pt>
                <c:pt idx="3">
                  <c:v>-0.54249999999999998</c:v>
                </c:pt>
                <c:pt idx="4">
                  <c:v>-0.43180000000000002</c:v>
                </c:pt>
                <c:pt idx="5">
                  <c:v>-0.3201</c:v>
                </c:pt>
                <c:pt idx="6">
                  <c:v>-0.2079</c:v>
                </c:pt>
                <c:pt idx="7">
                  <c:v>-9.5600000000000004E-2</c:v>
                </c:pt>
                <c:pt idx="8">
                  <c:v>1.7000000000000001E-2</c:v>
                </c:pt>
                <c:pt idx="9">
                  <c:v>0.12970000000000001</c:v>
                </c:pt>
                <c:pt idx="10">
                  <c:v>0.24229999999999999</c:v>
                </c:pt>
                <c:pt idx="11">
                  <c:v>0.35370000000000001</c:v>
                </c:pt>
                <c:pt idx="12">
                  <c:v>0.46539999999999998</c:v>
                </c:pt>
                <c:pt idx="13">
                  <c:v>0.57379999999999998</c:v>
                </c:pt>
                <c:pt idx="14">
                  <c:v>0.67649999999999999</c:v>
                </c:pt>
                <c:pt idx="15">
                  <c:v>0.80349999999999999</c:v>
                </c:pt>
                <c:pt idx="16">
                  <c:v>0.91110000000000002</c:v>
                </c:pt>
                <c:pt idx="17">
                  <c:v>1.0084</c:v>
                </c:pt>
                <c:pt idx="18">
                  <c:v>1.1091</c:v>
                </c:pt>
                <c:pt idx="19">
                  <c:v>1.2092000000000001</c:v>
                </c:pt>
                <c:pt idx="20">
                  <c:v>1.3068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E-174D-81AF-94CE3C67D7F1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C̃N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Sheet1!$F$2:$F$22</c:f>
              <c:numCache>
                <c:formatCode>General</c:formatCode>
                <c:ptCount val="21"/>
                <c:pt idx="0">
                  <c:v>-0.85110067428191094</c:v>
                </c:pt>
                <c:pt idx="1">
                  <c:v>-0.74954406879348512</c:v>
                </c:pt>
                <c:pt idx="2">
                  <c:v>-0.6468433191017029</c:v>
                </c:pt>
                <c:pt idx="3">
                  <c:v>-0.53941174291771354</c:v>
                </c:pt>
                <c:pt idx="4">
                  <c:v>-0.43019343106334357</c:v>
                </c:pt>
                <c:pt idx="5">
                  <c:v>-0.31947283879499683</c:v>
                </c:pt>
                <c:pt idx="6">
                  <c:v>-0.20784000748097986</c:v>
                </c:pt>
                <c:pt idx="7">
                  <c:v>-9.5787186136494354E-2</c:v>
                </c:pt>
                <c:pt idx="8">
                  <c:v>1.6785830998582024E-2</c:v>
                </c:pt>
                <c:pt idx="9">
                  <c:v>0.12958146544134894</c:v>
                </c:pt>
                <c:pt idx="10">
                  <c:v>0.24229999999999999</c:v>
                </c:pt>
                <c:pt idx="11">
                  <c:v>0.35373740586248259</c:v>
                </c:pt>
                <c:pt idx="12">
                  <c:v>0.46529517631780398</c:v>
                </c:pt>
                <c:pt idx="13">
                  <c:v>0.57328577401463776</c:v>
                </c:pt>
                <c:pt idx="14">
                  <c:v>0.67525108703058745</c:v>
                </c:pt>
                <c:pt idx="15">
                  <c:v>0.80103335585254665</c:v>
                </c:pt>
                <c:pt idx="16">
                  <c:v>0.90693571901448089</c:v>
                </c:pt>
                <c:pt idx="17">
                  <c:v>1.001974269938585</c:v>
                </c:pt>
                <c:pt idx="18">
                  <c:v>1.0996952625888572</c:v>
                </c:pt>
                <c:pt idx="19">
                  <c:v>1.1960429066309857</c:v>
                </c:pt>
                <c:pt idx="20">
                  <c:v>1.2890687523674433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EE-174D-81AF-94CE3C67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C̃D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21"/>
                <c:pt idx="0">
                  <c:v>1.038E-2</c:v>
                </c:pt>
                <c:pt idx="1">
                  <c:v>9.3900000000000008E-3</c:v>
                </c:pt>
                <c:pt idx="2">
                  <c:v>8.5400000000000007E-3</c:v>
                </c:pt>
                <c:pt idx="3">
                  <c:v>7.8399999999999997E-3</c:v>
                </c:pt>
                <c:pt idx="4">
                  <c:v>7.26E-3</c:v>
                </c:pt>
                <c:pt idx="5">
                  <c:v>6.7799999999999996E-3</c:v>
                </c:pt>
                <c:pt idx="6">
                  <c:v>6.4000000000000003E-3</c:v>
                </c:pt>
                <c:pt idx="7">
                  <c:v>6.0800000000000003E-3</c:v>
                </c:pt>
                <c:pt idx="8">
                  <c:v>5.8399999999999997E-3</c:v>
                </c:pt>
                <c:pt idx="9">
                  <c:v>5.6600000000000001E-3</c:v>
                </c:pt>
                <c:pt idx="10">
                  <c:v>5.4999999999999997E-3</c:v>
                </c:pt>
                <c:pt idx="11">
                  <c:v>5.2300000000000003E-3</c:v>
                </c:pt>
                <c:pt idx="12">
                  <c:v>5.1200000000000004E-3</c:v>
                </c:pt>
                <c:pt idx="13">
                  <c:v>5.1999999999999998E-3</c:v>
                </c:pt>
                <c:pt idx="14">
                  <c:v>5.7200000000000003E-3</c:v>
                </c:pt>
                <c:pt idx="15">
                  <c:v>6.7799999999999996E-3</c:v>
                </c:pt>
                <c:pt idx="16">
                  <c:v>7.9100000000000004E-3</c:v>
                </c:pt>
                <c:pt idx="17">
                  <c:v>8.9499999999999996E-3</c:v>
                </c:pt>
                <c:pt idx="18">
                  <c:v>9.9799999999999993E-3</c:v>
                </c:pt>
                <c:pt idx="19">
                  <c:v>1.106E-2</c:v>
                </c:pt>
                <c:pt idx="20">
                  <c:v>1.222E-2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EE-174D-81AF-94CE3C67D7F1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C̃A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Sheet1!$G$2:$G$22</c:f>
              <c:numCache>
                <c:formatCode>General</c:formatCode>
                <c:ptCount val="21"/>
                <c:pt idx="0">
                  <c:v>-0.13953188394369401</c:v>
                </c:pt>
                <c:pt idx="1">
                  <c:v>-0.10920907030328252</c:v>
                </c:pt>
                <c:pt idx="2">
                  <c:v>-8.2283972518909648E-2</c:v>
                </c:pt>
                <c:pt idx="3">
                  <c:v>-5.8332556968424543E-2</c:v>
                </c:pt>
                <c:pt idx="4">
                  <c:v>-3.7915161478599101E-2</c:v>
                </c:pt>
                <c:pt idx="5">
                  <c:v>-2.1144353200463345E-2</c:v>
                </c:pt>
                <c:pt idx="6">
                  <c:v>-8.117960969740776E-3</c:v>
                </c:pt>
                <c:pt idx="7">
                  <c:v>1.0683501544823792E-3</c:v>
                </c:pt>
                <c:pt idx="8">
                  <c:v>6.4297338737340356E-3</c:v>
                </c:pt>
                <c:pt idx="9">
                  <c:v>7.9227150695008464E-3</c:v>
                </c:pt>
                <c:pt idx="10">
                  <c:v>5.4999999999999997E-3</c:v>
                </c:pt>
                <c:pt idx="11">
                  <c:v>-9.437127111992516E-4</c:v>
                </c:pt>
                <c:pt idx="12">
                  <c:v>-1.112534473100618E-2</c:v>
                </c:pt>
                <c:pt idx="13">
                  <c:v>-2.4837498111477382E-2</c:v>
                </c:pt>
                <c:pt idx="14">
                  <c:v>-4.1484188120414572E-2</c:v>
                </c:pt>
                <c:pt idx="15">
                  <c:v>-6.3275439244681306E-2</c:v>
                </c:pt>
                <c:pt idx="16">
                  <c:v>-8.7369214690796032E-2</c:v>
                </c:pt>
                <c:pt idx="17">
                  <c:v>-0.11400975783256088</c:v>
                </c:pt>
                <c:pt idx="18">
                  <c:v>-0.14447401094876769</c:v>
                </c:pt>
                <c:pt idx="19">
                  <c:v>-0.17823672207966496</c:v>
                </c:pt>
                <c:pt idx="20">
                  <c:v>-0.21488908783333538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EE-174D-81AF-94CE3C67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70575"/>
        <c:axId val="1401777600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25"/>
      </c:valAx>
      <c:valAx>
        <c:axId val="1401777600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</a:t>
                </a: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0970575"/>
        <c:crosses val="max"/>
        <c:crossBetween val="midCat"/>
      </c:valAx>
      <c:valAx>
        <c:axId val="50097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1777600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C̃m,c/4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Sheet1!$E$2:$E$22</c:f>
              <c:numCache>
                <c:formatCode>General</c:formatCode>
                <c:ptCount val="21"/>
                <c:pt idx="0">
                  <c:v>-5.6500000000000002E-2</c:v>
                </c:pt>
                <c:pt idx="1">
                  <c:v>-5.5300000000000002E-2</c:v>
                </c:pt>
                <c:pt idx="2">
                  <c:v>-5.3900000000000003E-2</c:v>
                </c:pt>
                <c:pt idx="3">
                  <c:v>-5.33E-2</c:v>
                </c:pt>
                <c:pt idx="4">
                  <c:v>-5.2900000000000003E-2</c:v>
                </c:pt>
                <c:pt idx="5">
                  <c:v>-5.2699999999999997E-2</c:v>
                </c:pt>
                <c:pt idx="6">
                  <c:v>-5.2499999999999998E-2</c:v>
                </c:pt>
                <c:pt idx="7">
                  <c:v>-5.2499999999999998E-2</c:v>
                </c:pt>
                <c:pt idx="8">
                  <c:v>-5.2499999999999998E-2</c:v>
                </c:pt>
                <c:pt idx="9">
                  <c:v>-5.2600000000000001E-2</c:v>
                </c:pt>
                <c:pt idx="10">
                  <c:v>-5.2699999999999997E-2</c:v>
                </c:pt>
                <c:pt idx="11">
                  <c:v>-5.2699999999999997E-2</c:v>
                </c:pt>
                <c:pt idx="12">
                  <c:v>-5.2600000000000001E-2</c:v>
                </c:pt>
                <c:pt idx="13">
                  <c:v>-5.1700000000000003E-2</c:v>
                </c:pt>
                <c:pt idx="14">
                  <c:v>-4.9500000000000002E-2</c:v>
                </c:pt>
                <c:pt idx="15">
                  <c:v>-5.33E-2</c:v>
                </c:pt>
                <c:pt idx="16">
                  <c:v>-5.2900000000000003E-2</c:v>
                </c:pt>
                <c:pt idx="17">
                  <c:v>-5.0299999999999997E-2</c:v>
                </c:pt>
                <c:pt idx="18">
                  <c:v>-4.8500000000000001E-2</c:v>
                </c:pt>
                <c:pt idx="19">
                  <c:v>-4.6699999999999998E-2</c:v>
                </c:pt>
                <c:pt idx="20">
                  <c:v>-4.4699999999999997E-2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1-1E4E-BADC-FE6DEFA58FF2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C̃m,le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Sheet1!$I$2:$I$22</c:f>
              <c:numCache>
                <c:formatCode>General</c:formatCode>
                <c:ptCount val="21"/>
                <c:pt idx="0">
                  <c:v>0.15627516857047774</c:v>
                </c:pt>
                <c:pt idx="1">
                  <c:v>0.13208601719837126</c:v>
                </c:pt>
                <c:pt idx="2">
                  <c:v>0.10781082977542572</c:v>
                </c:pt>
                <c:pt idx="3">
                  <c:v>8.1552935729428386E-2</c:v>
                </c:pt>
                <c:pt idx="4">
                  <c:v>5.4648357765835889E-2</c:v>
                </c:pt>
                <c:pt idx="5">
                  <c:v>2.716820969874921E-2</c:v>
                </c:pt>
                <c:pt idx="6">
                  <c:v>-5.3999812975503297E-4</c:v>
                </c:pt>
                <c:pt idx="7">
                  <c:v>-2.855320346587641E-2</c:v>
                </c:pt>
                <c:pt idx="8">
                  <c:v>-5.6696457749645504E-2</c:v>
                </c:pt>
                <c:pt idx="9">
                  <c:v>-8.4995366360337235E-2</c:v>
                </c:pt>
                <c:pt idx="10">
                  <c:v>-0.11327499999999999</c:v>
                </c:pt>
                <c:pt idx="11">
                  <c:v>-0.14113435146562064</c:v>
                </c:pt>
                <c:pt idx="12">
                  <c:v>-0.16892379407945099</c:v>
                </c:pt>
                <c:pt idx="13">
                  <c:v>-0.19502144350365944</c:v>
                </c:pt>
                <c:pt idx="14">
                  <c:v>-0.21831277175764685</c:v>
                </c:pt>
                <c:pt idx="15">
                  <c:v>-0.25355833896313668</c:v>
                </c:pt>
                <c:pt idx="16">
                  <c:v>-0.27963392975362023</c:v>
                </c:pt>
                <c:pt idx="17">
                  <c:v>-0.30079356748464625</c:v>
                </c:pt>
                <c:pt idx="18">
                  <c:v>-0.32342381564721429</c:v>
                </c:pt>
                <c:pt idx="19">
                  <c:v>-0.34571072665774644</c:v>
                </c:pt>
                <c:pt idx="20">
                  <c:v>-0.36696718809186085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51-1E4E-BADC-FE6DEFA5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  <c:min val="-0.4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m,le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m,c/4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1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C̃L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Sheet1!$C$66:$C$86</c:f>
              <c:numCache>
                <c:formatCode>General</c:formatCode>
                <c:ptCount val="21"/>
                <c:pt idx="0">
                  <c:v>-0.71998772347392981</c:v>
                </c:pt>
                <c:pt idx="1">
                  <c:v>-0.63014853166025564</c:v>
                </c:pt>
                <c:pt idx="2">
                  <c:v>-0.54011739049945184</c:v>
                </c:pt>
                <c:pt idx="3">
                  <c:v>-0.4499217243492673</c:v>
                </c:pt>
                <c:pt idx="4">
                  <c:v>-0.35958900768335617</c:v>
                </c:pt>
                <c:pt idx="5">
                  <c:v>-0.26914675672228799</c:v>
                </c:pt>
                <c:pt idx="6">
                  <c:v>-0.17862252105183898</c:v>
                </c:pt>
                <c:pt idx="7">
                  <c:v>-8.8043875231122268E-2</c:v>
                </c:pt>
                <c:pt idx="8">
                  <c:v>2.5615896068899892E-3</c:v>
                </c:pt>
                <c:pt idx="9">
                  <c:v>9.3166274159893259E-2</c:v>
                </c:pt>
                <c:pt idx="10">
                  <c:v>0.18374257936326549</c:v>
                </c:pt>
                <c:pt idx="11">
                  <c:v>0.27426291479700937</c:v>
                </c:pt>
                <c:pt idx="12">
                  <c:v>0.36469970709006155</c:v>
                </c:pt>
                <c:pt idx="13">
                  <c:v>0.45502540831940863</c:v>
                </c:pt>
                <c:pt idx="14">
                  <c:v>0.54521250440145164</c:v>
                </c:pt>
                <c:pt idx="15">
                  <c:v>0.63523352347306172</c:v>
                </c:pt>
                <c:pt idx="16">
                  <c:v>0.72506104425977669</c:v>
                </c:pt>
                <c:pt idx="17">
                  <c:v>0.81466770442858594</c:v>
                </c:pt>
                <c:pt idx="18">
                  <c:v>0.9040262089227632</c:v>
                </c:pt>
                <c:pt idx="19">
                  <c:v>0.99310933827620385</c:v>
                </c:pt>
                <c:pt idx="20">
                  <c:v>1.0818899569047395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0-894B-8159-75EB37323562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C̃N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Sheet1!$E$66:$E$86</c:f>
              <c:numCache>
                <c:formatCode>General</c:formatCode>
                <c:ptCount val="21"/>
                <c:pt idx="0">
                  <c:v>-0.71118344043886661</c:v>
                </c:pt>
                <c:pt idx="1">
                  <c:v>-0.62418159733206457</c:v>
                </c:pt>
                <c:pt idx="2">
                  <c:v>-0.53635196026351306</c:v>
                </c:pt>
                <c:pt idx="3">
                  <c:v>-0.44779619828897466</c:v>
                </c:pt>
                <c:pt idx="4">
                  <c:v>-0.35861679976843092</c:v>
                </c:pt>
                <c:pt idx="5">
                  <c:v>-0.26891695702833146</c:v>
                </c:pt>
                <c:pt idx="6">
                  <c:v>-0.17880045030995528</c:v>
                </c:pt>
                <c:pt idx="7">
                  <c:v>-8.8371531120381291E-2</c:v>
                </c:pt>
                <c:pt idx="8">
                  <c:v>2.2651948970407523E-3</c:v>
                </c:pt>
                <c:pt idx="9">
                  <c:v>9.3004885455490488E-2</c:v>
                </c:pt>
                <c:pt idx="10">
                  <c:v>0.18374257936326549</c:v>
                </c:pt>
                <c:pt idx="11">
                  <c:v>0.27437331439049084</c:v>
                </c:pt>
                <c:pt idx="12">
                  <c:v>0.3647922451461727</c:v>
                </c:pt>
                <c:pt idx="13">
                  <c:v>0.45489476084778041</c:v>
                </c:pt>
                <c:pt idx="14">
                  <c:v>0.54457660286557907</c:v>
                </c:pt>
                <c:pt idx="15">
                  <c:v>0.63373398192404062</c:v>
                </c:pt>
                <c:pt idx="16">
                  <c:v>0.72226369484285169</c:v>
                </c:pt>
                <c:pt idx="17">
                  <c:v>0.81006324070028446</c:v>
                </c:pt>
                <c:pt idx="18">
                  <c:v>0.89703093630203923</c:v>
                </c:pt>
                <c:pt idx="19">
                  <c:v>0.98306603083906563</c:v>
                </c:pt>
                <c:pt idx="20">
                  <c:v>1.0680688196183636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70-894B-8159-75EB3732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C̃D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Sheet1!$D$66:$D$86</c:f>
              <c:numCache>
                <c:formatCode>General</c:formatCode>
                <c:ptCount val="21"/>
                <c:pt idx="0">
                  <c:v>1.2288918414242827E-2</c:v>
                </c:pt>
                <c:pt idx="1">
                  <c:v>1.1450416425967003E-2</c:v>
                </c:pt>
                <c:pt idx="2">
                  <c:v>1.0712954368331185E-2</c:v>
                </c:pt>
                <c:pt idx="3">
                  <c:v>1.0077368204068446E-2</c:v>
                </c:pt>
                <c:pt idx="4">
                  <c:v>9.5443696615759004E-3</c:v>
                </c:pt>
                <c:pt idx="5">
                  <c:v>9.1145453868626408E-3</c:v>
                </c:pt>
                <c:pt idx="6">
                  <c:v>8.7883562479203047E-3</c:v>
                </c:pt>
                <c:pt idx="7">
                  <c:v>8.566136792357933E-3</c:v>
                </c:pt>
                <c:pt idx="8">
                  <c:v>8.4480948589561074E-3</c:v>
                </c:pt>
                <c:pt idx="9">
                  <c:v>8.4343113436077914E-3</c:v>
                </c:pt>
                <c:pt idx="10">
                  <c:v>8.5247401199251855E-3</c:v>
                </c:pt>
                <c:pt idx="11">
                  <c:v>8.719208114603515E-3</c:v>
                </c:pt>
                <c:pt idx="12">
                  <c:v>9.0174155374440641E-3</c:v>
                </c:pt>
                <c:pt idx="13">
                  <c:v>9.4189362657504019E-3</c:v>
                </c:pt>
                <c:pt idx="14">
                  <c:v>9.9232183826236092E-3</c:v>
                </c:pt>
                <c:pt idx="15">
                  <c:v>1.0529584868494878E-2</c:v>
                </c:pt>
                <c:pt idx="16">
                  <c:v>1.1237234445047112E-2</c:v>
                </c:pt>
                <c:pt idx="17">
                  <c:v>1.2045242570491554E-2</c:v>
                </c:pt>
                <c:pt idx="18">
                  <c:v>1.2952562584981023E-2</c:v>
                </c:pt>
                <c:pt idx="19">
                  <c:v>1.3958027004758471E-2</c:v>
                </c:pt>
                <c:pt idx="20">
                  <c:v>1.5060348963458401E-2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70-894B-8159-75EB37323562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C̃A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Sheet1!$F$66:$F$86</c:f>
              <c:numCache>
                <c:formatCode>General</c:formatCode>
                <c:ptCount val="21"/>
                <c:pt idx="0">
                  <c:v>-0.11292233399332884</c:v>
                </c:pt>
                <c:pt idx="1">
                  <c:v>-8.7267505647272425E-2</c:v>
                </c:pt>
                <c:pt idx="2">
                  <c:v>-6.4561115485423412E-2</c:v>
                </c:pt>
                <c:pt idx="3">
                  <c:v>-4.4829412100536203E-2</c:v>
                </c:pt>
                <c:pt idx="4">
                  <c:v>-2.8095201775155738E-2</c:v>
                </c:pt>
                <c:pt idx="5">
                  <c:v>-1.4377823700345129E-2</c:v>
                </c:pt>
                <c:pt idx="6">
                  <c:v>-3.6931289460604647E-3</c:v>
                </c:pt>
                <c:pt idx="7">
                  <c:v>3.9465367980412195E-3</c:v>
                </c:pt>
                <c:pt idx="8">
                  <c:v>8.5323466958667337E-3</c:v>
                </c:pt>
                <c:pt idx="9">
                  <c:v>1.0059002440023498E-2</c:v>
                </c:pt>
                <c:pt idx="10">
                  <c:v>8.5247401199251855E-3</c:v>
                </c:pt>
                <c:pt idx="11">
                  <c:v>3.9313322772637632E-3</c:v>
                </c:pt>
                <c:pt idx="12">
                  <c:v>-3.7159138534516058E-3</c:v>
                </c:pt>
                <c:pt idx="13">
                  <c:v>-1.4408161918282912E-2</c:v>
                </c:pt>
                <c:pt idx="14">
                  <c:v>-2.8133055826865913E-2</c:v>
                </c:pt>
                <c:pt idx="15">
                  <c:v>-4.4874732937404974E-2</c:v>
                </c:pt>
                <c:pt idx="16">
                  <c:v>-6.4613841032728617E-2</c:v>
                </c:pt>
                <c:pt idx="17">
                  <c:v>-8.7327559073162905E-2</c:v>
                </c:pt>
                <c:pt idx="18">
                  <c:v>-0.11298962170866945</c:v>
                </c:pt>
                <c:pt idx="19">
                  <c:v>-0.14157034752938361</c:v>
                </c:pt>
                <c:pt idx="20">
                  <c:v>-0.17303667103037859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70-894B-8159-75EB3732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70575"/>
        <c:axId val="1401777600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25"/>
      </c:valAx>
      <c:valAx>
        <c:axId val="1401777600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</a:t>
                </a:r>
                <a:r>
                  <a:rPr lang="en-US" sz="16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0970575"/>
        <c:crosses val="max"/>
        <c:crossBetween val="midCat"/>
      </c:valAx>
      <c:valAx>
        <c:axId val="50097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1777600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Sheet1!$H$65</c:f>
              <c:strCache>
                <c:ptCount val="1"/>
                <c:pt idx="0">
                  <c:v>C̃m,c/4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Sheet1!$H$66:$H$86</c:f>
              <c:numCache>
                <c:formatCode>General</c:formatCode>
                <c:ptCount val="21"/>
                <c:pt idx="0">
                  <c:v>-6.5832543298921326E-2</c:v>
                </c:pt>
                <c:pt idx="1">
                  <c:v>-6.2425954646109588E-2</c:v>
                </c:pt>
                <c:pt idx="2">
                  <c:v>-5.9042362075752461E-2</c:v>
                </c:pt>
                <c:pt idx="3">
                  <c:v>-5.5686825193668722E-2</c:v>
                </c:pt>
                <c:pt idx="4">
                  <c:v>-5.2364386557301058E-2</c:v>
                </c:pt>
                <c:pt idx="5">
                  <c:v>-4.908006387267036E-2</c:v>
                </c:pt>
                <c:pt idx="6">
                  <c:v>-4.5838842181865236E-2</c:v>
                </c:pt>
                <c:pt idx="7">
                  <c:v>-4.2645666054949675E-2</c:v>
                </c:pt>
                <c:pt idx="8">
                  <c:v>-3.9505431800263974E-2</c:v>
                </c:pt>
                <c:pt idx="9">
                  <c:v>-3.6422979707154794E-2</c:v>
                </c:pt>
                <c:pt idx="10">
                  <c:v>-3.3403086335202864E-2</c:v>
                </c:pt>
                <c:pt idx="11">
                  <c:v>-3.0450456864019065E-2</c:v>
                </c:pt>
                <c:pt idx="12">
                  <c:v>-2.7569717517652678E-2</c:v>
                </c:pt>
                <c:pt idx="13">
                  <c:v>-2.4765408077598014E-2</c:v>
                </c:pt>
                <c:pt idx="14">
                  <c:v>-2.2041974498298395E-2</c:v>
                </c:pt>
                <c:pt idx="15">
                  <c:v>-1.9403761638928652E-2</c:v>
                </c:pt>
                <c:pt idx="16">
                  <c:v>-1.685500612509197E-2</c:v>
                </c:pt>
                <c:pt idx="17">
                  <c:v>-1.4399829353887533E-2</c:v>
                </c:pt>
                <c:pt idx="18">
                  <c:v>-1.2042230655602393E-2</c:v>
                </c:pt>
                <c:pt idx="19">
                  <c:v>-9.7860806250426868E-3</c:v>
                </c:pt>
                <c:pt idx="20">
                  <c:v>-7.6351146352594546E-3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8-1346-8EAD-B1AEB921781D}"/>
            </c:ext>
          </c:extLst>
        </c:ser>
        <c:ser>
          <c:idx val="2"/>
          <c:order val="1"/>
          <c:tx>
            <c:strRef>
              <c:f>Sheet1!$G$65</c:f>
              <c:strCache>
                <c:ptCount val="1"/>
                <c:pt idx="0">
                  <c:v>C̃mle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Sheet1!$G$66:$G$86</c:f>
              <c:numCache>
                <c:formatCode>General</c:formatCode>
                <c:ptCount val="21"/>
                <c:pt idx="0">
                  <c:v>0.11196331681079533</c:v>
                </c:pt>
                <c:pt idx="1">
                  <c:v>9.3619444686906556E-2</c:v>
                </c:pt>
                <c:pt idx="2">
                  <c:v>7.5045627990125804E-2</c:v>
                </c:pt>
                <c:pt idx="3">
                  <c:v>5.6262224378574942E-2</c:v>
                </c:pt>
                <c:pt idx="4">
                  <c:v>3.7289813384806671E-2</c:v>
                </c:pt>
                <c:pt idx="5">
                  <c:v>1.8149175384412502E-2</c:v>
                </c:pt>
                <c:pt idx="6">
                  <c:v>-1.1387296043764178E-3</c:v>
                </c:pt>
                <c:pt idx="7">
                  <c:v>-2.0552783274854353E-2</c:v>
                </c:pt>
                <c:pt idx="8">
                  <c:v>-4.007173052452416E-2</c:v>
                </c:pt>
                <c:pt idx="9">
                  <c:v>-5.9674201071027416E-2</c:v>
                </c:pt>
                <c:pt idx="10">
                  <c:v>-7.9338731176019237E-2</c:v>
                </c:pt>
                <c:pt idx="11">
                  <c:v>-9.9043785461641776E-2</c:v>
                </c:pt>
                <c:pt idx="12">
                  <c:v>-0.11876777880419585</c:v>
                </c:pt>
                <c:pt idx="13">
                  <c:v>-0.13848909828954312</c:v>
                </c:pt>
                <c:pt idx="14">
                  <c:v>-0.15818612521469316</c:v>
                </c:pt>
                <c:pt idx="15">
                  <c:v>-0.17783725711993881</c:v>
                </c:pt>
                <c:pt idx="16">
                  <c:v>-0.19742092983580489</c:v>
                </c:pt>
                <c:pt idx="17">
                  <c:v>-0.21691563952895865</c:v>
                </c:pt>
                <c:pt idx="18">
                  <c:v>-0.2362999647311122</c:v>
                </c:pt>
                <c:pt idx="19">
                  <c:v>-0.25555258833480909</c:v>
                </c:pt>
                <c:pt idx="20">
                  <c:v>-0.27465231953985036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68-1346-8EAD-B1AEB9217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  <c:max val="0.1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m,le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m,c/4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1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Sheet1!$I$65</c:f>
              <c:strCache>
                <c:ptCount val="1"/>
                <c:pt idx="0">
                  <c:v>xcp/c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Sheet1!$I$66:$I$86</c:f>
              <c:numCache>
                <c:formatCode>General</c:formatCode>
                <c:ptCount val="21"/>
                <c:pt idx="0">
                  <c:v>0.15743240132490077</c:v>
                </c:pt>
                <c:pt idx="1">
                  <c:v>0.14998751178673569</c:v>
                </c:pt>
                <c:pt idx="2">
                  <c:v>0.1399186234972562</c:v>
                </c:pt>
                <c:pt idx="3">
                  <c:v>0.12564247886326951</c:v>
                </c:pt>
                <c:pt idx="4">
                  <c:v>0.10398233827552353</c:v>
                </c:pt>
                <c:pt idx="5">
                  <c:v>6.7489888272461829E-2</c:v>
                </c:pt>
                <c:pt idx="6">
                  <c:v>-6.3687177655447624E-3</c:v>
                </c:pt>
                <c:pt idx="7">
                  <c:v>-0.23257244741925975</c:v>
                </c:pt>
                <c:pt idx="8">
                  <c:v>17.690191063415259</c:v>
                </c:pt>
                <c:pt idx="9">
                  <c:v>0.64162437036262787</c:v>
                </c:pt>
                <c:pt idx="10">
                  <c:v>0.43179284546323798</c:v>
                </c:pt>
                <c:pt idx="11">
                  <c:v>0.36098184578067849</c:v>
                </c:pt>
                <c:pt idx="12">
                  <c:v>0.32557649013784673</c:v>
                </c:pt>
                <c:pt idx="13">
                  <c:v>0.30444206047008127</c:v>
                </c:pt>
                <c:pt idx="14">
                  <c:v>0.2904754342774053</c:v>
                </c:pt>
                <c:pt idx="15">
                  <c:v>0.28061814924302797</c:v>
                </c:pt>
                <c:pt idx="16">
                  <c:v>0.27333636073007828</c:v>
                </c:pt>
                <c:pt idx="17">
                  <c:v>0.26777617922946256</c:v>
                </c:pt>
                <c:pt idx="18">
                  <c:v>0.26342454331089832</c:v>
                </c:pt>
                <c:pt idx="19">
                  <c:v>0.25995465240182297</c:v>
                </c:pt>
                <c:pt idx="20">
                  <c:v>0.25714852310545644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8-884F-B4E2-7741A03F91B3}"/>
            </c:ext>
          </c:extLst>
        </c:ser>
        <c:ser>
          <c:idx val="2"/>
          <c:order val="1"/>
          <c:tx>
            <c:strRef>
              <c:f>Sheet1!$J$65</c:f>
              <c:strCache>
                <c:ptCount val="1"/>
                <c:pt idx="0">
                  <c:v>xac/c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Sheet1!$B$66:$B$86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Sheet1!$J$66:$J$86</c:f>
              <c:numCache>
                <c:formatCode>General</c:formatCode>
                <c:ptCount val="21"/>
                <c:pt idx="0">
                  <c:v>0.21721604359283581</c:v>
                </c:pt>
                <c:pt idx="1">
                  <c:v>0.21721604359283581</c:v>
                </c:pt>
                <c:pt idx="2">
                  <c:v>0.21721604359283581</c:v>
                </c:pt>
                <c:pt idx="3">
                  <c:v>0.21721604359283581</c:v>
                </c:pt>
                <c:pt idx="4">
                  <c:v>0.21721604359283581</c:v>
                </c:pt>
                <c:pt idx="5">
                  <c:v>0.21721604359283581</c:v>
                </c:pt>
                <c:pt idx="6">
                  <c:v>0.21721604359283581</c:v>
                </c:pt>
                <c:pt idx="7">
                  <c:v>0.21721604359283581</c:v>
                </c:pt>
                <c:pt idx="8">
                  <c:v>0.21721604359283581</c:v>
                </c:pt>
                <c:pt idx="9">
                  <c:v>0.21721604359283581</c:v>
                </c:pt>
                <c:pt idx="10">
                  <c:v>0.21721604359283581</c:v>
                </c:pt>
                <c:pt idx="11">
                  <c:v>0.21721604359283581</c:v>
                </c:pt>
                <c:pt idx="12">
                  <c:v>0.21721604359283581</c:v>
                </c:pt>
                <c:pt idx="13">
                  <c:v>0.21721604359283581</c:v>
                </c:pt>
                <c:pt idx="14">
                  <c:v>0.21721604359283581</c:v>
                </c:pt>
                <c:pt idx="15">
                  <c:v>0.21721604359283581</c:v>
                </c:pt>
                <c:pt idx="16">
                  <c:v>0.21721604359283581</c:v>
                </c:pt>
                <c:pt idx="17">
                  <c:v>0.21721604359283581</c:v>
                </c:pt>
                <c:pt idx="18">
                  <c:v>0.21721604359283581</c:v>
                </c:pt>
                <c:pt idx="19">
                  <c:v>0.21721604359283581</c:v>
                </c:pt>
                <c:pt idx="20">
                  <c:v>0.21721604359283581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78-884F-B4E2-7741A03F9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  <c:max val="0.7"/>
          <c:min val="-0.3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cp</a:t>
                </a:r>
                <a:r>
                  <a:rPr lang="en-US" sz="1600" b="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/c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endParaRPr lang="en-US" sz="1600" b="0" i="1" u="none" strike="noStrike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</a:t>
                </a:r>
                <a:r>
                  <a:rPr lang="en-US" sz="1600" b="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1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Sheet1!$I$65</c:f>
              <c:strCache>
                <c:ptCount val="1"/>
                <c:pt idx="0">
                  <c:v>xcp/c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Sheet1!$J$2:$J$22</c:f>
              <c:numCache>
                <c:formatCode>General</c:formatCode>
                <c:ptCount val="21"/>
                <c:pt idx="0">
                  <c:v>0.18361537394190169</c:v>
                </c:pt>
                <c:pt idx="1">
                  <c:v>0.17622181629825381</c:v>
                </c:pt>
                <c:pt idx="2">
                  <c:v>0.16667224750059553</c:v>
                </c:pt>
                <c:pt idx="3">
                  <c:v>0.15118865467834125</c:v>
                </c:pt>
                <c:pt idx="4">
                  <c:v>0.12703206004507592</c:v>
                </c:pt>
                <c:pt idx="5">
                  <c:v>8.5040749633751606E-2</c:v>
                </c:pt>
                <c:pt idx="6">
                  <c:v>-2.5981433329406033E-3</c:v>
                </c:pt>
                <c:pt idx="7">
                  <c:v>-0.2980900120104667</c:v>
                </c:pt>
                <c:pt idx="8">
                  <c:v>3.3776378276675674</c:v>
                </c:pt>
                <c:pt idx="9">
                  <c:v>0.6559222499209022</c:v>
                </c:pt>
                <c:pt idx="10">
                  <c:v>0.46749896822121334</c:v>
                </c:pt>
                <c:pt idx="11">
                  <c:v>0.39898056899441225</c:v>
                </c:pt>
                <c:pt idx="12">
                  <c:v>0.36304651902102109</c:v>
                </c:pt>
                <c:pt idx="13">
                  <c:v>0.34018189940062937</c:v>
                </c:pt>
                <c:pt idx="14">
                  <c:v>0.32330606488569452</c:v>
                </c:pt>
                <c:pt idx="15">
                  <c:v>0.31653905185168274</c:v>
                </c:pt>
                <c:pt idx="16">
                  <c:v>0.30832827938178864</c:v>
                </c:pt>
                <c:pt idx="17">
                  <c:v>0.30020088989219562</c:v>
                </c:pt>
                <c:pt idx="18">
                  <c:v>0.2941031271570847</c:v>
                </c:pt>
                <c:pt idx="19">
                  <c:v>0.28904542198368505</c:v>
                </c:pt>
                <c:pt idx="20">
                  <c:v>0.28467619544567047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5-4843-AAA9-030D24664E48}"/>
            </c:ext>
          </c:extLst>
        </c:ser>
        <c:ser>
          <c:idx val="2"/>
          <c:order val="1"/>
          <c:tx>
            <c:strRef>
              <c:f>Sheet1!$J$65</c:f>
              <c:strCache>
                <c:ptCount val="1"/>
                <c:pt idx="0">
                  <c:v>xac/c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Sheet1!$K$2:$K$22</c:f>
              <c:numCache>
                <c:formatCode>General</c:formatCode>
                <c:ptCount val="21"/>
                <c:pt idx="0">
                  <c:v>0.24677409000449382</c:v>
                </c:pt>
                <c:pt idx="1">
                  <c:v>0.24677409000449382</c:v>
                </c:pt>
                <c:pt idx="2">
                  <c:v>0.24677409000449382</c:v>
                </c:pt>
                <c:pt idx="3">
                  <c:v>0.24677409000449382</c:v>
                </c:pt>
                <c:pt idx="4">
                  <c:v>0.24677409000449382</c:v>
                </c:pt>
                <c:pt idx="5">
                  <c:v>0.24677409000449382</c:v>
                </c:pt>
                <c:pt idx="6">
                  <c:v>0.24677409000449382</c:v>
                </c:pt>
                <c:pt idx="7">
                  <c:v>0.24677409000449382</c:v>
                </c:pt>
                <c:pt idx="8">
                  <c:v>0.24677409000449382</c:v>
                </c:pt>
                <c:pt idx="9">
                  <c:v>0.24677409000449382</c:v>
                </c:pt>
                <c:pt idx="10">
                  <c:v>0.24677409000449382</c:v>
                </c:pt>
                <c:pt idx="11">
                  <c:v>0.24677409000449382</c:v>
                </c:pt>
                <c:pt idx="12">
                  <c:v>0.24677409000449382</c:v>
                </c:pt>
                <c:pt idx="13">
                  <c:v>0.24677409000449382</c:v>
                </c:pt>
                <c:pt idx="14">
                  <c:v>0.24677409000449382</c:v>
                </c:pt>
                <c:pt idx="15">
                  <c:v>0.24677409000449382</c:v>
                </c:pt>
                <c:pt idx="16">
                  <c:v>0.24677409000449382</c:v>
                </c:pt>
                <c:pt idx="17">
                  <c:v>0.24677409000449382</c:v>
                </c:pt>
                <c:pt idx="18">
                  <c:v>0.24677409000449382</c:v>
                </c:pt>
                <c:pt idx="19">
                  <c:v>0.24677409000449382</c:v>
                </c:pt>
                <c:pt idx="20">
                  <c:v>0.24677409000449382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5-4843-AAA9-030D24664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Attack (deg), 𝛼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1"/>
        <c:crossBetween val="midCat"/>
        <c:majorUnit val="2"/>
      </c:valAx>
      <c:valAx>
        <c:axId val="482856848"/>
        <c:scaling>
          <c:orientation val="minMax"/>
          <c:max val="0.7"/>
          <c:min val="-0.3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cp</a:t>
                </a:r>
                <a:r>
                  <a:rPr lang="en-US" sz="1600" b="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/c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endParaRPr lang="en-US" sz="1600" b="0" i="1" u="none" strike="noStrike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chemeClr val="tx1"/>
                    </a:solidFill>
                  </a:defRPr>
                </a:pPr>
                <a:r>
                  <a:rPr lang="en-US" sz="1600" b="0" i="1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</a:t>
                </a:r>
                <a:r>
                  <a:rPr lang="en-US" sz="1600" b="0" i="1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0"/>
        <c:crossBetween val="midCat"/>
        <c:majorUnit val="0.1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208602</xdr:colOff>
      <xdr:row>33</xdr:row>
      <xdr:rowOff>25306</xdr:rowOff>
    </xdr:from>
    <xdr:to>
      <xdr:col>10</xdr:col>
      <xdr:colOff>107476</xdr:colOff>
      <xdr:row>63</xdr:row>
      <xdr:rowOff>18956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836B6-FC61-E0FF-D1ED-EDF952EA2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190500</xdr:colOff>
      <xdr:row>18</xdr:row>
      <xdr:rowOff>19050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DDBBB6-7FBF-CC22-6C88-18BF9BEC1DD3}"/>
            </a:ext>
          </a:extLst>
        </xdr:cNvPr>
        <xdr:cNvSpPr txBox="1"/>
      </xdr:nvSpPr>
      <xdr:spPr>
        <a:xfrm>
          <a:off x="8089900" y="367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190500</xdr:colOff>
      <xdr:row>18</xdr:row>
      <xdr:rowOff>19050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F71916-34D3-7364-6EF2-9C3ABE9ADDF1}"/>
            </a:ext>
          </a:extLst>
        </xdr:cNvPr>
        <xdr:cNvSpPr txBox="1"/>
      </xdr:nvSpPr>
      <xdr:spPr>
        <a:xfrm>
          <a:off x="8089900" y="367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343254</xdr:colOff>
      <xdr:row>33</xdr:row>
      <xdr:rowOff>32760</xdr:rowOff>
    </xdr:from>
    <xdr:to>
      <xdr:col>20</xdr:col>
      <xdr:colOff>138043</xdr:colOff>
      <xdr:row>63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BE53A4-D183-124E-AE7B-4B9904E9F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241300</xdr:colOff>
      <xdr:row>87</xdr:row>
      <xdr:rowOff>50800</xdr:rowOff>
    </xdr:from>
    <xdr:to>
      <xdr:col>10</xdr:col>
      <xdr:colOff>140174</xdr:colOff>
      <xdr:row>117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3567E4-AB80-9843-BE7C-BD78661CB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87</xdr:row>
      <xdr:rowOff>0</xdr:rowOff>
    </xdr:from>
    <xdr:to>
      <xdr:col>20</xdr:col>
      <xdr:colOff>330674</xdr:colOff>
      <xdr:row>116</xdr:row>
      <xdr:rowOff>196850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6F5EA1-118D-A34F-B2C3-FE2C28C46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87</xdr:row>
      <xdr:rowOff>0</xdr:rowOff>
    </xdr:from>
    <xdr:to>
      <xdr:col>30</xdr:col>
      <xdr:colOff>330674</xdr:colOff>
      <xdr:row>116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9CA7AE-7E08-D645-8774-8387D2CDF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441737</xdr:colOff>
      <xdr:row>33</xdr:row>
      <xdr:rowOff>27609</xdr:rowOff>
    </xdr:from>
    <xdr:to>
      <xdr:col>30</xdr:col>
      <xdr:colOff>41412</xdr:colOff>
      <xdr:row>62</xdr:row>
      <xdr:rowOff>193261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B30B30-4F7A-854B-8C69-62127C926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7BDF-144F-9141-964E-1DF7A1D8C95F}">
  <dimension ref="A1:T86"/>
  <sheetViews>
    <sheetView tabSelected="1" zoomScale="67" workbookViewId="0">
      <selection activeCell="F29" sqref="F29"/>
    </sheetView>
  </sheetViews>
  <sheetFormatPr baseColWidth="10" defaultRowHeight="16" x14ac:dyDescent="0.2"/>
  <cols>
    <col min="1" max="1" width="20.6640625" bestFit="1" customWidth="1"/>
    <col min="2" max="2" width="7" bestFit="1" customWidth="1"/>
    <col min="3" max="3" width="7.83203125" bestFit="1" customWidth="1"/>
    <col min="4" max="4" width="8.1640625" bestFit="1" customWidth="1"/>
    <col min="5" max="5" width="7.83203125" bestFit="1" customWidth="1"/>
    <col min="6" max="7" width="12.83203125" bestFit="1" customWidth="1"/>
    <col min="8" max="8" width="7.33203125" bestFit="1" customWidth="1"/>
    <col min="9" max="9" width="12.83203125" bestFit="1" customWidth="1"/>
    <col min="10" max="10" width="8" bestFit="1" customWidth="1"/>
    <col min="11" max="11" width="8.6640625" bestFit="1" customWidth="1"/>
  </cols>
  <sheetData>
    <row r="1" spans="1:20" ht="19" x14ac:dyDescent="0.25">
      <c r="A1" s="2" t="s">
        <v>0</v>
      </c>
      <c r="B1" s="3" t="s">
        <v>11</v>
      </c>
      <c r="C1" s="4" t="s">
        <v>2</v>
      </c>
      <c r="D1" s="4" t="s">
        <v>3</v>
      </c>
      <c r="E1" s="4" t="s">
        <v>8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10</v>
      </c>
      <c r="L1" s="4" t="s">
        <v>12</v>
      </c>
      <c r="M1" s="4" t="s">
        <v>13</v>
      </c>
      <c r="P1" s="4" t="s">
        <v>15</v>
      </c>
      <c r="Q1" s="4" t="s">
        <v>16</v>
      </c>
      <c r="R1" s="3" t="s">
        <v>22</v>
      </c>
      <c r="T1" s="4" t="s">
        <v>12</v>
      </c>
    </row>
    <row r="2" spans="1:20" ht="18" x14ac:dyDescent="0.25">
      <c r="A2" s="2" t="s">
        <v>1</v>
      </c>
      <c r="B2" s="2">
        <v>-10</v>
      </c>
      <c r="C2" s="2">
        <v>-0.86240000000000006</v>
      </c>
      <c r="D2" s="2">
        <v>1.038E-2</v>
      </c>
      <c r="E2" s="2">
        <v>-5.6500000000000002E-2</v>
      </c>
      <c r="F2" s="2">
        <f>(C2*COS(B2*PI()/180)) + (D2*SIN(B2*PI()/180))</f>
        <v>-0.85110067428191094</v>
      </c>
      <c r="G2" s="2">
        <f>(D2*COS(B2*PI()/180)) - (C2*SIN(B2*PI()/180))</f>
        <v>-0.13953188394369401</v>
      </c>
      <c r="H2" s="2">
        <v>0</v>
      </c>
      <c r="I2" s="2">
        <f>E2-(F2*0.25)</f>
        <v>0.15627516857047774</v>
      </c>
      <c r="J2" s="2">
        <f>-I2/F2</f>
        <v>0.18361537394190169</v>
      </c>
      <c r="K2" s="2">
        <f>-M2/L2</f>
        <v>0.24677409000449382</v>
      </c>
      <c r="L2" s="2">
        <v>0.109039</v>
      </c>
      <c r="M2" s="2">
        <v>-2.6908000000000001E-2</v>
      </c>
      <c r="O2" s="4" t="s">
        <v>3</v>
      </c>
      <c r="P2" s="2">
        <v>6.0999999999999999E-5</v>
      </c>
      <c r="Q2" s="2">
        <v>6.3999999999999997E-5</v>
      </c>
      <c r="R2" s="2">
        <v>5.2729999999999999E-3</v>
      </c>
      <c r="T2">
        <f>((($P$2*(B2*PI()/180)^2)+($Q$2*(B2*PI()/180))+($R$5+$R$2))*COS(B2*PI()/180))-(((($Q$4+$Q$3)*(B2*PI()/180))+($R$4+$R$3))*SIN(B2*PI()/180))</f>
        <v>0.15098171342971783</v>
      </c>
    </row>
    <row r="3" spans="1:20" ht="18" x14ac:dyDescent="0.25">
      <c r="A3" s="2"/>
      <c r="B3" s="2">
        <v>-9</v>
      </c>
      <c r="C3" s="2">
        <v>-0.75739999999999996</v>
      </c>
      <c r="D3" s="2">
        <v>9.3900000000000008E-3</v>
      </c>
      <c r="E3" s="2">
        <v>-5.5300000000000002E-2</v>
      </c>
      <c r="F3" s="2">
        <f t="shared" ref="F3:F22" si="0">(C3*COS(B3*PI()/180)) + (D3*SIN(B3*PI()/180))</f>
        <v>-0.74954406879348512</v>
      </c>
      <c r="G3" s="2">
        <f>(D3*COS(B3*PI()/180)) - (C3*SIN(B3*PI()/180))</f>
        <v>-0.10920907030328252</v>
      </c>
      <c r="H3" s="2">
        <v>0</v>
      </c>
      <c r="I3" s="2">
        <f t="shared" ref="I3:I22" si="1">E3-(F3*0.25)</f>
        <v>0.13208601719837126</v>
      </c>
      <c r="J3" s="2">
        <f t="shared" ref="J3:J22" si="2">-I3/F3</f>
        <v>0.17622181629825381</v>
      </c>
      <c r="K3" s="2">
        <f t="shared" ref="K3:K22" si="3">-M3/L3</f>
        <v>0.24677409000449382</v>
      </c>
      <c r="L3" s="2">
        <v>0.109039</v>
      </c>
      <c r="M3" s="2">
        <v>-2.6908000000000001E-2</v>
      </c>
      <c r="O3" s="4" t="s">
        <v>17</v>
      </c>
      <c r="P3" s="6" t="s">
        <v>19</v>
      </c>
      <c r="Q3" s="2">
        <f>P2*2</f>
        <v>1.22E-4</v>
      </c>
      <c r="R3" s="2">
        <f>Q2</f>
        <v>6.3999999999999997E-5</v>
      </c>
    </row>
    <row r="4" spans="1:20" ht="18" x14ac:dyDescent="0.25">
      <c r="A4" s="2"/>
      <c r="B4" s="2">
        <v>-8</v>
      </c>
      <c r="C4" s="2">
        <v>-0.65200000000000002</v>
      </c>
      <c r="D4" s="2">
        <v>8.5400000000000007E-3</v>
      </c>
      <c r="E4" s="2">
        <v>-5.3900000000000003E-2</v>
      </c>
      <c r="F4" s="2">
        <f t="shared" si="0"/>
        <v>-0.6468433191017029</v>
      </c>
      <c r="G4" s="2">
        <f t="shared" ref="G4:G22" si="4">(D4*COS(B4*PI()/180)) - (C4*SIN(B4*PI()/180))</f>
        <v>-8.2283972518909648E-2</v>
      </c>
      <c r="H4" s="2">
        <v>0</v>
      </c>
      <c r="I4" s="2">
        <f t="shared" si="1"/>
        <v>0.10781082977542572</v>
      </c>
      <c r="J4" s="2">
        <f t="shared" si="2"/>
        <v>0.16667224750059553</v>
      </c>
      <c r="K4" s="2">
        <f t="shared" si="3"/>
        <v>0.24677409000449382</v>
      </c>
      <c r="L4" s="2">
        <v>0.109039</v>
      </c>
      <c r="M4" s="2">
        <v>-2.6908000000000001E-2</v>
      </c>
      <c r="O4" s="4" t="s">
        <v>2</v>
      </c>
      <c r="P4" s="6" t="s">
        <v>19</v>
      </c>
      <c r="Q4" s="2">
        <v>0.109972</v>
      </c>
      <c r="R4" s="2">
        <v>0.23508599999999999</v>
      </c>
    </row>
    <row r="5" spans="1:20" ht="18" x14ac:dyDescent="0.25">
      <c r="A5" s="2"/>
      <c r="B5" s="2">
        <v>-7</v>
      </c>
      <c r="C5" s="2">
        <v>-0.54249999999999998</v>
      </c>
      <c r="D5" s="2">
        <v>7.8399999999999997E-3</v>
      </c>
      <c r="E5" s="2">
        <v>-5.33E-2</v>
      </c>
      <c r="F5" s="2">
        <f t="shared" si="0"/>
        <v>-0.53941174291771354</v>
      </c>
      <c r="G5" s="2">
        <f t="shared" si="4"/>
        <v>-5.8332556968424543E-2</v>
      </c>
      <c r="H5" s="2">
        <v>0</v>
      </c>
      <c r="I5" s="2">
        <f t="shared" si="1"/>
        <v>8.1552935729428386E-2</v>
      </c>
      <c r="J5" s="2">
        <f t="shared" si="2"/>
        <v>0.15118865467834125</v>
      </c>
      <c r="K5" s="2">
        <f t="shared" si="3"/>
        <v>0.24677409000449382</v>
      </c>
      <c r="L5" s="2">
        <v>0.109039</v>
      </c>
      <c r="M5" s="2">
        <v>-2.6908000000000001E-2</v>
      </c>
      <c r="O5" s="4" t="s">
        <v>18</v>
      </c>
      <c r="P5" s="6" t="s">
        <v>19</v>
      </c>
      <c r="Q5" s="6" t="s">
        <v>19</v>
      </c>
      <c r="R5" s="2">
        <f>Q4</f>
        <v>0.109972</v>
      </c>
    </row>
    <row r="6" spans="1:20" x14ac:dyDescent="0.2">
      <c r="A6" s="2"/>
      <c r="B6" s="2">
        <v>-6</v>
      </c>
      <c r="C6" s="2">
        <v>-0.43180000000000002</v>
      </c>
      <c r="D6" s="2">
        <v>7.26E-3</v>
      </c>
      <c r="E6" s="2">
        <v>-5.2900000000000003E-2</v>
      </c>
      <c r="F6" s="2">
        <f t="shared" si="0"/>
        <v>-0.43019343106334357</v>
      </c>
      <c r="G6" s="2">
        <f t="shared" si="4"/>
        <v>-3.7915161478599101E-2</v>
      </c>
      <c r="H6" s="2">
        <v>0</v>
      </c>
      <c r="I6" s="2">
        <f t="shared" si="1"/>
        <v>5.4648357765835889E-2</v>
      </c>
      <c r="J6" s="2">
        <f t="shared" si="2"/>
        <v>0.12703206004507592</v>
      </c>
      <c r="K6" s="2">
        <f t="shared" si="3"/>
        <v>0.24677409000449382</v>
      </c>
      <c r="L6" s="2">
        <v>0.109039</v>
      </c>
      <c r="M6" s="2">
        <v>-2.6908000000000001E-2</v>
      </c>
    </row>
    <row r="7" spans="1:20" x14ac:dyDescent="0.2">
      <c r="A7" s="2"/>
      <c r="B7" s="2">
        <v>-5</v>
      </c>
      <c r="C7" s="2">
        <v>-0.3201</v>
      </c>
      <c r="D7" s="2">
        <v>6.7799999999999996E-3</v>
      </c>
      <c r="E7" s="2">
        <v>-5.2699999999999997E-2</v>
      </c>
      <c r="F7" s="2">
        <f t="shared" si="0"/>
        <v>-0.31947283879499683</v>
      </c>
      <c r="G7" s="2">
        <f t="shared" si="4"/>
        <v>-2.1144353200463345E-2</v>
      </c>
      <c r="H7" s="2">
        <v>0</v>
      </c>
      <c r="I7" s="2">
        <f t="shared" si="1"/>
        <v>2.716820969874921E-2</v>
      </c>
      <c r="J7" s="2">
        <f t="shared" si="2"/>
        <v>8.5040749633751606E-2</v>
      </c>
      <c r="K7" s="2">
        <f t="shared" si="3"/>
        <v>0.24677409000449382</v>
      </c>
      <c r="L7" s="2">
        <v>0.109039</v>
      </c>
      <c r="M7" s="2">
        <v>-2.6908000000000001E-2</v>
      </c>
    </row>
    <row r="8" spans="1:20" x14ac:dyDescent="0.2">
      <c r="A8" s="2"/>
      <c r="B8" s="2">
        <v>-4</v>
      </c>
      <c r="C8" s="2">
        <v>-0.2079</v>
      </c>
      <c r="D8" s="2">
        <v>6.4000000000000003E-3</v>
      </c>
      <c r="E8" s="2">
        <v>-5.2499999999999998E-2</v>
      </c>
      <c r="F8" s="2">
        <f t="shared" si="0"/>
        <v>-0.20784000748097986</v>
      </c>
      <c r="G8" s="2">
        <f t="shared" si="4"/>
        <v>-8.117960969740776E-3</v>
      </c>
      <c r="H8" s="2">
        <v>0</v>
      </c>
      <c r="I8" s="2">
        <f t="shared" si="1"/>
        <v>-5.3999812975503297E-4</v>
      </c>
      <c r="J8" s="2">
        <f t="shared" si="2"/>
        <v>-2.5981433329406033E-3</v>
      </c>
      <c r="K8" s="2">
        <f t="shared" si="3"/>
        <v>0.24677409000449382</v>
      </c>
      <c r="L8" s="2">
        <v>0.109039</v>
      </c>
      <c r="M8" s="2">
        <v>-2.6908000000000001E-2</v>
      </c>
    </row>
    <row r="9" spans="1:20" x14ac:dyDescent="0.2">
      <c r="A9" s="2"/>
      <c r="B9" s="2">
        <v>-3</v>
      </c>
      <c r="C9" s="2">
        <v>-9.5600000000000004E-2</v>
      </c>
      <c r="D9" s="2">
        <v>6.0800000000000003E-3</v>
      </c>
      <c r="E9" s="2">
        <v>-5.2499999999999998E-2</v>
      </c>
      <c r="F9" s="2">
        <f t="shared" si="0"/>
        <v>-9.5787186136494354E-2</v>
      </c>
      <c r="G9" s="2">
        <f t="shared" si="4"/>
        <v>1.0683501544823792E-3</v>
      </c>
      <c r="H9" s="2">
        <v>0</v>
      </c>
      <c r="I9" s="2">
        <f t="shared" si="1"/>
        <v>-2.855320346587641E-2</v>
      </c>
      <c r="J9" s="2">
        <f t="shared" si="2"/>
        <v>-0.2980900120104667</v>
      </c>
      <c r="K9" s="2">
        <f t="shared" si="3"/>
        <v>0.24677409000449382</v>
      </c>
      <c r="L9" s="2">
        <v>0.109039</v>
      </c>
      <c r="M9" s="2">
        <v>-2.6908000000000001E-2</v>
      </c>
    </row>
    <row r="10" spans="1:20" x14ac:dyDescent="0.2">
      <c r="A10" s="2"/>
      <c r="B10" s="2">
        <v>-2</v>
      </c>
      <c r="C10" s="2">
        <v>1.7000000000000001E-2</v>
      </c>
      <c r="D10" s="2">
        <v>5.8399999999999997E-3</v>
      </c>
      <c r="E10" s="2">
        <v>-5.2499999999999998E-2</v>
      </c>
      <c r="F10" s="2">
        <f t="shared" si="0"/>
        <v>1.6785830998582024E-2</v>
      </c>
      <c r="G10" s="2">
        <f t="shared" si="4"/>
        <v>6.4297338737340356E-3</v>
      </c>
      <c r="H10" s="2">
        <v>0</v>
      </c>
      <c r="I10" s="2">
        <f t="shared" si="1"/>
        <v>-5.6696457749645504E-2</v>
      </c>
      <c r="J10" s="2">
        <f t="shared" si="2"/>
        <v>3.3776378276675674</v>
      </c>
      <c r="K10" s="2">
        <f t="shared" si="3"/>
        <v>0.24677409000449382</v>
      </c>
      <c r="L10" s="2">
        <v>0.109039</v>
      </c>
      <c r="M10" s="2">
        <v>-2.6908000000000001E-2</v>
      </c>
    </row>
    <row r="11" spans="1:20" x14ac:dyDescent="0.2">
      <c r="A11" s="2"/>
      <c r="B11" s="2">
        <v>-1</v>
      </c>
      <c r="C11" s="2">
        <v>0.12970000000000001</v>
      </c>
      <c r="D11" s="2">
        <v>5.6600000000000001E-3</v>
      </c>
      <c r="E11" s="2">
        <v>-5.2600000000000001E-2</v>
      </c>
      <c r="F11" s="2">
        <f t="shared" si="0"/>
        <v>0.12958146544134894</v>
      </c>
      <c r="G11" s="2">
        <f t="shared" si="4"/>
        <v>7.9227150695008464E-3</v>
      </c>
      <c r="H11" s="2">
        <v>0</v>
      </c>
      <c r="I11" s="2">
        <f t="shared" si="1"/>
        <v>-8.4995366360337235E-2</v>
      </c>
      <c r="J11" s="2">
        <f t="shared" si="2"/>
        <v>0.6559222499209022</v>
      </c>
      <c r="K11" s="2">
        <f t="shared" si="3"/>
        <v>0.24677409000449382</v>
      </c>
      <c r="L11" s="2">
        <v>0.109039</v>
      </c>
      <c r="M11" s="2">
        <v>-2.6908000000000001E-2</v>
      </c>
    </row>
    <row r="12" spans="1:20" x14ac:dyDescent="0.2">
      <c r="A12" s="2"/>
      <c r="B12" s="2">
        <v>0</v>
      </c>
      <c r="C12" s="2">
        <v>0.24229999999999999</v>
      </c>
      <c r="D12" s="2">
        <v>5.4999999999999997E-3</v>
      </c>
      <c r="E12" s="2">
        <v>-5.2699999999999997E-2</v>
      </c>
      <c r="F12" s="2">
        <f t="shared" si="0"/>
        <v>0.24229999999999999</v>
      </c>
      <c r="G12" s="2">
        <f t="shared" si="4"/>
        <v>5.4999999999999997E-3</v>
      </c>
      <c r="H12" s="2">
        <v>0</v>
      </c>
      <c r="I12" s="2">
        <f t="shared" si="1"/>
        <v>-0.11327499999999999</v>
      </c>
      <c r="J12" s="2">
        <f t="shared" si="2"/>
        <v>0.46749896822121334</v>
      </c>
      <c r="K12" s="2">
        <f t="shared" si="3"/>
        <v>0.24677409000449382</v>
      </c>
      <c r="L12" s="2">
        <v>0.109039</v>
      </c>
      <c r="M12" s="2">
        <v>-2.6908000000000001E-2</v>
      </c>
    </row>
    <row r="13" spans="1:20" x14ac:dyDescent="0.2">
      <c r="A13" s="2"/>
      <c r="B13" s="2">
        <v>1</v>
      </c>
      <c r="C13" s="2">
        <v>0.35370000000000001</v>
      </c>
      <c r="D13" s="2">
        <v>5.2300000000000003E-3</v>
      </c>
      <c r="E13" s="2">
        <v>-5.2699999999999997E-2</v>
      </c>
      <c r="F13" s="2">
        <f t="shared" si="0"/>
        <v>0.35373740586248259</v>
      </c>
      <c r="G13" s="2">
        <f t="shared" si="4"/>
        <v>-9.437127111992516E-4</v>
      </c>
      <c r="H13" s="2">
        <v>0</v>
      </c>
      <c r="I13" s="2">
        <f t="shared" si="1"/>
        <v>-0.14113435146562064</v>
      </c>
      <c r="J13" s="2">
        <f t="shared" si="2"/>
        <v>0.39898056899441225</v>
      </c>
      <c r="K13" s="2">
        <f t="shared" si="3"/>
        <v>0.24677409000449382</v>
      </c>
      <c r="L13" s="2">
        <v>0.109039</v>
      </c>
      <c r="M13" s="2">
        <v>-2.6908000000000001E-2</v>
      </c>
    </row>
    <row r="14" spans="1:20" x14ac:dyDescent="0.2">
      <c r="A14" s="2"/>
      <c r="B14" s="2">
        <v>2</v>
      </c>
      <c r="C14" s="2">
        <v>0.46539999999999998</v>
      </c>
      <c r="D14" s="2">
        <v>5.1200000000000004E-3</v>
      </c>
      <c r="E14" s="2">
        <v>-5.2600000000000001E-2</v>
      </c>
      <c r="F14" s="2">
        <f t="shared" si="0"/>
        <v>0.46529517631780398</v>
      </c>
      <c r="G14" s="2">
        <f t="shared" si="4"/>
        <v>-1.112534473100618E-2</v>
      </c>
      <c r="H14" s="2">
        <v>0</v>
      </c>
      <c r="I14" s="2">
        <f t="shared" si="1"/>
        <v>-0.16892379407945099</v>
      </c>
      <c r="J14" s="2">
        <f t="shared" si="2"/>
        <v>0.36304651902102109</v>
      </c>
      <c r="K14" s="2">
        <f t="shared" si="3"/>
        <v>0.24677409000449382</v>
      </c>
      <c r="L14" s="2">
        <v>0.109039</v>
      </c>
      <c r="M14" s="2">
        <v>-2.6908000000000001E-2</v>
      </c>
    </row>
    <row r="15" spans="1:20" x14ac:dyDescent="0.2">
      <c r="A15" s="2"/>
      <c r="B15" s="2">
        <v>3</v>
      </c>
      <c r="C15" s="2">
        <v>0.57379999999999998</v>
      </c>
      <c r="D15" s="2">
        <v>5.1999999999999998E-3</v>
      </c>
      <c r="E15" s="2">
        <v>-5.1700000000000003E-2</v>
      </c>
      <c r="F15" s="2">
        <f t="shared" si="0"/>
        <v>0.57328577401463776</v>
      </c>
      <c r="G15" s="2">
        <f t="shared" si="4"/>
        <v>-2.4837498111477382E-2</v>
      </c>
      <c r="H15" s="2">
        <v>0</v>
      </c>
      <c r="I15" s="2">
        <f t="shared" si="1"/>
        <v>-0.19502144350365944</v>
      </c>
      <c r="J15" s="2">
        <f t="shared" si="2"/>
        <v>0.34018189940062937</v>
      </c>
      <c r="K15" s="2">
        <f t="shared" si="3"/>
        <v>0.24677409000449382</v>
      </c>
      <c r="L15" s="2">
        <v>0.109039</v>
      </c>
      <c r="M15" s="2">
        <v>-2.6908000000000001E-2</v>
      </c>
    </row>
    <row r="16" spans="1:20" x14ac:dyDescent="0.2">
      <c r="A16" s="2"/>
      <c r="B16" s="2">
        <v>4</v>
      </c>
      <c r="C16" s="2">
        <v>0.67649999999999999</v>
      </c>
      <c r="D16" s="2">
        <v>5.7200000000000003E-3</v>
      </c>
      <c r="E16" s="2">
        <v>-4.9500000000000002E-2</v>
      </c>
      <c r="F16" s="2">
        <f t="shared" si="0"/>
        <v>0.67525108703058745</v>
      </c>
      <c r="G16" s="2">
        <f t="shared" si="4"/>
        <v>-4.1484188120414572E-2</v>
      </c>
      <c r="H16" s="2">
        <v>0</v>
      </c>
      <c r="I16" s="2">
        <f t="shared" si="1"/>
        <v>-0.21831277175764685</v>
      </c>
      <c r="J16" s="2">
        <f t="shared" si="2"/>
        <v>0.32330606488569452</v>
      </c>
      <c r="K16" s="2">
        <f t="shared" si="3"/>
        <v>0.24677409000449382</v>
      </c>
      <c r="L16" s="2">
        <v>0.109039</v>
      </c>
      <c r="M16" s="2">
        <v>-2.6908000000000001E-2</v>
      </c>
    </row>
    <row r="17" spans="1:13" x14ac:dyDescent="0.2">
      <c r="A17" s="2"/>
      <c r="B17" s="2">
        <v>5</v>
      </c>
      <c r="C17" s="2">
        <v>0.80349999999999999</v>
      </c>
      <c r="D17" s="2">
        <v>6.7799999999999996E-3</v>
      </c>
      <c r="E17" s="2">
        <v>-5.33E-2</v>
      </c>
      <c r="F17" s="2">
        <f t="shared" si="0"/>
        <v>0.80103335585254665</v>
      </c>
      <c r="G17" s="2">
        <f t="shared" si="4"/>
        <v>-6.3275439244681306E-2</v>
      </c>
      <c r="H17" s="2">
        <v>0</v>
      </c>
      <c r="I17" s="2">
        <f t="shared" si="1"/>
        <v>-0.25355833896313668</v>
      </c>
      <c r="J17" s="2">
        <f t="shared" si="2"/>
        <v>0.31653905185168274</v>
      </c>
      <c r="K17" s="2">
        <f t="shared" si="3"/>
        <v>0.24677409000449382</v>
      </c>
      <c r="L17" s="2">
        <v>0.109039</v>
      </c>
      <c r="M17" s="2">
        <v>-2.6908000000000001E-2</v>
      </c>
    </row>
    <row r="18" spans="1:13" x14ac:dyDescent="0.2">
      <c r="A18" s="2"/>
      <c r="B18" s="2">
        <v>6</v>
      </c>
      <c r="C18" s="2">
        <v>0.91110000000000002</v>
      </c>
      <c r="D18" s="2">
        <v>7.9100000000000004E-3</v>
      </c>
      <c r="E18" s="2">
        <v>-5.2900000000000003E-2</v>
      </c>
      <c r="F18" s="2">
        <f t="shared" si="0"/>
        <v>0.90693571901448089</v>
      </c>
      <c r="G18" s="2">
        <f t="shared" si="4"/>
        <v>-8.7369214690796032E-2</v>
      </c>
      <c r="H18" s="2">
        <v>0</v>
      </c>
      <c r="I18" s="2">
        <f t="shared" si="1"/>
        <v>-0.27963392975362023</v>
      </c>
      <c r="J18" s="2">
        <f t="shared" si="2"/>
        <v>0.30832827938178864</v>
      </c>
      <c r="K18" s="2">
        <f t="shared" si="3"/>
        <v>0.24677409000449382</v>
      </c>
      <c r="L18" s="2">
        <v>0.109039</v>
      </c>
      <c r="M18" s="2">
        <v>-2.6908000000000001E-2</v>
      </c>
    </row>
    <row r="19" spans="1:13" x14ac:dyDescent="0.2">
      <c r="A19" s="2"/>
      <c r="B19" s="2">
        <v>7</v>
      </c>
      <c r="C19" s="2">
        <v>1.0084</v>
      </c>
      <c r="D19" s="2">
        <v>8.9499999999999996E-3</v>
      </c>
      <c r="E19" s="2">
        <v>-5.0299999999999997E-2</v>
      </c>
      <c r="F19" s="2">
        <f t="shared" si="0"/>
        <v>1.001974269938585</v>
      </c>
      <c r="G19" s="2">
        <f t="shared" si="4"/>
        <v>-0.11400975783256088</v>
      </c>
      <c r="H19" s="2">
        <v>0</v>
      </c>
      <c r="I19" s="2">
        <f t="shared" si="1"/>
        <v>-0.30079356748464625</v>
      </c>
      <c r="J19" s="2">
        <f t="shared" si="2"/>
        <v>0.30020088989219562</v>
      </c>
      <c r="K19" s="2">
        <f t="shared" si="3"/>
        <v>0.24677409000449382</v>
      </c>
      <c r="L19" s="2">
        <v>0.109039</v>
      </c>
      <c r="M19" s="2">
        <v>-2.6908000000000001E-2</v>
      </c>
    </row>
    <row r="20" spans="1:13" x14ac:dyDescent="0.2">
      <c r="A20" s="2"/>
      <c r="B20" s="2">
        <v>8</v>
      </c>
      <c r="C20" s="2">
        <v>1.1091</v>
      </c>
      <c r="D20" s="2">
        <v>9.9799999999999993E-3</v>
      </c>
      <c r="E20" s="2">
        <v>-4.8500000000000001E-2</v>
      </c>
      <c r="F20" s="2">
        <f t="shared" si="0"/>
        <v>1.0996952625888572</v>
      </c>
      <c r="G20" s="2">
        <f t="shared" si="4"/>
        <v>-0.14447401094876769</v>
      </c>
      <c r="H20" s="2">
        <v>0</v>
      </c>
      <c r="I20" s="2">
        <f t="shared" si="1"/>
        <v>-0.32342381564721429</v>
      </c>
      <c r="J20" s="2">
        <f t="shared" si="2"/>
        <v>0.2941031271570847</v>
      </c>
      <c r="K20" s="2">
        <f t="shared" si="3"/>
        <v>0.24677409000449382</v>
      </c>
      <c r="L20" s="2">
        <v>0.109039</v>
      </c>
      <c r="M20" s="2">
        <v>-2.6908000000000001E-2</v>
      </c>
    </row>
    <row r="21" spans="1:13" x14ac:dyDescent="0.2">
      <c r="A21" s="2"/>
      <c r="B21" s="2">
        <v>9</v>
      </c>
      <c r="C21" s="2">
        <v>1.2092000000000001</v>
      </c>
      <c r="D21" s="2">
        <v>1.106E-2</v>
      </c>
      <c r="E21" s="2">
        <v>-4.6699999999999998E-2</v>
      </c>
      <c r="F21" s="2">
        <f t="shared" si="0"/>
        <v>1.1960429066309857</v>
      </c>
      <c r="G21" s="2">
        <f t="shared" si="4"/>
        <v>-0.17823672207966496</v>
      </c>
      <c r="H21" s="2">
        <v>0</v>
      </c>
      <c r="I21" s="2">
        <f t="shared" si="1"/>
        <v>-0.34571072665774644</v>
      </c>
      <c r="J21" s="2">
        <f t="shared" si="2"/>
        <v>0.28904542198368505</v>
      </c>
      <c r="K21" s="2">
        <f t="shared" si="3"/>
        <v>0.24677409000449382</v>
      </c>
      <c r="L21" s="2">
        <v>0.109039</v>
      </c>
      <c r="M21" s="2">
        <v>-2.6908000000000001E-2</v>
      </c>
    </row>
    <row r="22" spans="1:13" x14ac:dyDescent="0.2">
      <c r="A22" s="2"/>
      <c r="B22" s="2">
        <v>10</v>
      </c>
      <c r="C22" s="2">
        <v>1.3068</v>
      </c>
      <c r="D22" s="2">
        <v>1.222E-2</v>
      </c>
      <c r="E22" s="2">
        <v>-4.4699999999999997E-2</v>
      </c>
      <c r="F22" s="2">
        <f t="shared" si="0"/>
        <v>1.2890687523674433</v>
      </c>
      <c r="G22" s="2">
        <f t="shared" si="4"/>
        <v>-0.21488908783333538</v>
      </c>
      <c r="H22" s="2">
        <v>0</v>
      </c>
      <c r="I22" s="2">
        <f t="shared" si="1"/>
        <v>-0.36696718809186085</v>
      </c>
      <c r="J22" s="2">
        <f t="shared" si="2"/>
        <v>0.28467619544567047</v>
      </c>
      <c r="K22" s="2">
        <f t="shared" si="3"/>
        <v>0.24677409000449382</v>
      </c>
      <c r="L22" s="2">
        <v>0.109039</v>
      </c>
      <c r="M22" s="2">
        <v>-2.6908000000000001E-2</v>
      </c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13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13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13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13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13" x14ac:dyDescent="0.2">
      <c r="A32" s="2"/>
      <c r="B32" s="2"/>
      <c r="C32" s="2"/>
      <c r="D32" s="2"/>
      <c r="E32" s="2"/>
      <c r="F32" s="2"/>
      <c r="G32" s="2"/>
      <c r="H32" s="2"/>
      <c r="I32" s="2"/>
    </row>
    <row r="35" spans="7:7" x14ac:dyDescent="0.2">
      <c r="G35" s="1"/>
    </row>
    <row r="65" spans="2:20" ht="19" x14ac:dyDescent="0.25">
      <c r="B65" s="3" t="s">
        <v>11</v>
      </c>
      <c r="C65" s="4" t="s">
        <v>2</v>
      </c>
      <c r="D65" s="4" t="s">
        <v>3</v>
      </c>
      <c r="E65" s="4" t="s">
        <v>4</v>
      </c>
      <c r="F65" s="4" t="s">
        <v>5</v>
      </c>
      <c r="G65" s="4" t="s">
        <v>14</v>
      </c>
      <c r="H65" s="4" t="s">
        <v>8</v>
      </c>
      <c r="I65" s="4" t="s">
        <v>9</v>
      </c>
      <c r="J65" s="4" t="s">
        <v>10</v>
      </c>
      <c r="K65" s="4" t="s">
        <v>12</v>
      </c>
      <c r="L65" s="4" t="s">
        <v>13</v>
      </c>
      <c r="M65" s="4" t="s">
        <v>21</v>
      </c>
      <c r="P65" s="4" t="s">
        <v>15</v>
      </c>
      <c r="Q65" s="4" t="s">
        <v>16</v>
      </c>
      <c r="R65" s="4" t="s">
        <v>20</v>
      </c>
      <c r="T65" s="4" t="s">
        <v>12</v>
      </c>
    </row>
    <row r="66" spans="2:20" ht="18" x14ac:dyDescent="0.25">
      <c r="B66" s="2">
        <v>-10</v>
      </c>
      <c r="C66" s="2">
        <f>5.1883*(SIN(B66*PI()/180)-TAN(-0.0354)*COS(B66*PI()/180))</f>
        <v>-0.71998772347392981</v>
      </c>
      <c r="D66" s="2">
        <f>0.00845-0.00076*C66+0.00635*C66^2</f>
        <v>1.2288918414242827E-2</v>
      </c>
      <c r="E66" s="2">
        <f>(C66*COS(B66*PI()/180))+(D66*SIN(B66*PI()/180))</f>
        <v>-0.71118344043886661</v>
      </c>
      <c r="F66" s="2">
        <f>(D66*COS(B66*PI()/180))-(C66*SIN(B66*PI()/180))</f>
        <v>-0.11292233399332884</v>
      </c>
      <c r="G66" s="2">
        <f>(0.56386*SIN(2*B66*PI()/180))-(0.43311*E66)+(0.02839*F66)</f>
        <v>0.11196331681079533</v>
      </c>
      <c r="H66" s="2">
        <f>G66+E66*0.25</f>
        <v>-6.5832543298921326E-2</v>
      </c>
      <c r="I66" s="2">
        <f>-(H66/E66)+0.25</f>
        <v>0.15743240132490077</v>
      </c>
      <c r="J66" s="2">
        <f>-L66/K66</f>
        <v>0.21721604359283581</v>
      </c>
      <c r="K66" s="5">
        <v>8.9555999999999997E-2</v>
      </c>
      <c r="L66" s="2">
        <v>-1.9453000000000002E-2</v>
      </c>
      <c r="M66" s="2">
        <v>2.9359999999999998E-3</v>
      </c>
      <c r="O66" s="4" t="s">
        <v>3</v>
      </c>
      <c r="P66" s="2">
        <v>5.1999999999999997E-5</v>
      </c>
      <c r="Q66" s="2">
        <v>1.3999999999999999E-4</v>
      </c>
      <c r="R66" s="2">
        <v>8.5299999999999994E-3</v>
      </c>
      <c r="T66">
        <f>(($Q$66*(B66*PI()/180)+($R$66+$R$69))*COS(B66*PI()/180))-((($Q$68-$Q$67)*(B66*PI()/180)+($R$68-$R$67))*SIN(B66*PI()/180))</f>
        <v>0.12622845386644102</v>
      </c>
    </row>
    <row r="67" spans="2:20" ht="18" x14ac:dyDescent="0.25">
      <c r="B67" s="2">
        <f>B66+1</f>
        <v>-9</v>
      </c>
      <c r="C67" s="2">
        <f t="shared" ref="C67:C86" si="5">5.1883*(SIN(B67*PI()/180)-TAN(-0.0354)*COS(B67*PI()/180))</f>
        <v>-0.63014853166025564</v>
      </c>
      <c r="D67" s="2">
        <f t="shared" ref="D67:D86" si="6">0.00845-0.00076*C67+0.00635*C67^2</f>
        <v>1.1450416425967003E-2</v>
      </c>
      <c r="E67" s="2">
        <f t="shared" ref="E67:E86" si="7">(C67*COS(B67*PI()/180))+(D67*SIN(B67*PI()/180))</f>
        <v>-0.62418159733206457</v>
      </c>
      <c r="F67" s="2">
        <f t="shared" ref="F67:F86" si="8">(D67*COS(B67*PI()/180))-(C67*SIN(B67*PI()/180))</f>
        <v>-8.7267505647272425E-2</v>
      </c>
      <c r="G67" s="2">
        <f t="shared" ref="G67:G86" si="9">(0.56386*SIN(2*B67*PI()/180))-(0.43311*E67)+(0.02839*F67)</f>
        <v>9.3619444686906556E-2</v>
      </c>
      <c r="H67" s="2">
        <f t="shared" ref="H67:H86" si="10">G67+E67*0.25</f>
        <v>-6.2425954646109588E-2</v>
      </c>
      <c r="I67" s="2">
        <f t="shared" ref="I67:I86" si="11">-(H67/E67)+0.25</f>
        <v>0.14998751178673569</v>
      </c>
      <c r="J67" s="2">
        <f t="shared" ref="J67:J86" si="12">-L67/K67</f>
        <v>0.21721604359283581</v>
      </c>
      <c r="K67" s="5">
        <v>8.9555999999999997E-2</v>
      </c>
      <c r="L67" s="2">
        <v>-1.9453000000000002E-2</v>
      </c>
      <c r="M67" s="2">
        <v>2.9359999999999998E-3</v>
      </c>
      <c r="O67" s="4" t="s">
        <v>17</v>
      </c>
      <c r="P67" s="6" t="s">
        <v>19</v>
      </c>
      <c r="Q67" s="2">
        <f>P66*2</f>
        <v>1.0399999999999999E-4</v>
      </c>
      <c r="R67" s="2">
        <v>1.3999999999999999E-4</v>
      </c>
    </row>
    <row r="68" spans="2:20" ht="18" x14ac:dyDescent="0.25">
      <c r="B68" s="2">
        <f t="shared" ref="B68:B86" si="13">B67+1</f>
        <v>-8</v>
      </c>
      <c r="C68" s="2">
        <f t="shared" si="5"/>
        <v>-0.54011739049945184</v>
      </c>
      <c r="D68" s="2">
        <f t="shared" si="6"/>
        <v>1.0712954368331185E-2</v>
      </c>
      <c r="E68" s="2">
        <f t="shared" si="7"/>
        <v>-0.53635196026351306</v>
      </c>
      <c r="F68" s="2">
        <f t="shared" si="8"/>
        <v>-6.4561115485423412E-2</v>
      </c>
      <c r="G68" s="2">
        <f t="shared" si="9"/>
        <v>7.5045627990125804E-2</v>
      </c>
      <c r="H68" s="2">
        <f t="shared" si="10"/>
        <v>-5.9042362075752461E-2</v>
      </c>
      <c r="I68" s="2">
        <f t="shared" si="11"/>
        <v>0.1399186234972562</v>
      </c>
      <c r="J68" s="2">
        <f t="shared" si="12"/>
        <v>0.21721604359283581</v>
      </c>
      <c r="K68" s="5">
        <v>8.9555999999999997E-2</v>
      </c>
      <c r="L68" s="2">
        <v>-1.9453000000000002E-2</v>
      </c>
      <c r="M68" s="2">
        <v>2.9359999999999998E-3</v>
      </c>
      <c r="O68" s="4" t="s">
        <v>2</v>
      </c>
      <c r="P68" s="6" t="s">
        <v>19</v>
      </c>
      <c r="Q68" s="2">
        <v>9.0250999999999998E-2</v>
      </c>
      <c r="R68" s="2">
        <v>0.18271799999999999</v>
      </c>
    </row>
    <row r="69" spans="2:20" ht="18" x14ac:dyDescent="0.25">
      <c r="B69" s="2">
        <f t="shared" si="13"/>
        <v>-7</v>
      </c>
      <c r="C69" s="2">
        <f t="shared" si="5"/>
        <v>-0.4499217243492673</v>
      </c>
      <c r="D69" s="2">
        <f t="shared" si="6"/>
        <v>1.0077368204068446E-2</v>
      </c>
      <c r="E69" s="2">
        <f t="shared" si="7"/>
        <v>-0.44779619828897466</v>
      </c>
      <c r="F69" s="2">
        <f t="shared" si="8"/>
        <v>-4.4829412100536203E-2</v>
      </c>
      <c r="G69" s="2">
        <f t="shared" si="9"/>
        <v>5.6262224378574942E-2</v>
      </c>
      <c r="H69" s="2">
        <f t="shared" si="10"/>
        <v>-5.5686825193668722E-2</v>
      </c>
      <c r="I69" s="2">
        <f t="shared" si="11"/>
        <v>0.12564247886326951</v>
      </c>
      <c r="J69" s="2">
        <f t="shared" si="12"/>
        <v>0.21721604359283581</v>
      </c>
      <c r="K69" s="5">
        <v>8.9555999999999997E-2</v>
      </c>
      <c r="L69" s="2">
        <v>-1.9453000000000002E-2</v>
      </c>
      <c r="M69" s="2">
        <v>2.9359999999999998E-3</v>
      </c>
      <c r="O69" s="4" t="s">
        <v>18</v>
      </c>
      <c r="P69" s="6" t="s">
        <v>19</v>
      </c>
      <c r="Q69" s="6" t="s">
        <v>19</v>
      </c>
      <c r="R69" s="2">
        <v>9.0250999999999998E-2</v>
      </c>
    </row>
    <row r="70" spans="2:20" x14ac:dyDescent="0.2">
      <c r="B70" s="2">
        <f t="shared" si="13"/>
        <v>-6</v>
      </c>
      <c r="C70" s="2">
        <f t="shared" si="5"/>
        <v>-0.35958900768335617</v>
      </c>
      <c r="D70" s="2">
        <f t="shared" si="6"/>
        <v>9.5443696615759004E-3</v>
      </c>
      <c r="E70" s="2">
        <f t="shared" si="7"/>
        <v>-0.35861679976843092</v>
      </c>
      <c r="F70" s="2">
        <f t="shared" si="8"/>
        <v>-2.8095201775155738E-2</v>
      </c>
      <c r="G70" s="2">
        <f t="shared" si="9"/>
        <v>3.7289813384806671E-2</v>
      </c>
      <c r="H70" s="2">
        <f t="shared" si="10"/>
        <v>-5.2364386557301058E-2</v>
      </c>
      <c r="I70" s="2">
        <f t="shared" si="11"/>
        <v>0.10398233827552353</v>
      </c>
      <c r="J70" s="2">
        <f t="shared" si="12"/>
        <v>0.21721604359283581</v>
      </c>
      <c r="K70" s="5">
        <v>8.9555999999999997E-2</v>
      </c>
      <c r="L70" s="2">
        <v>-1.9453000000000002E-2</v>
      </c>
      <c r="M70" s="2">
        <v>2.9359999999999998E-3</v>
      </c>
    </row>
    <row r="71" spans="2:20" x14ac:dyDescent="0.2">
      <c r="B71" s="2">
        <f t="shared" si="13"/>
        <v>-5</v>
      </c>
      <c r="C71" s="2">
        <f t="shared" si="5"/>
        <v>-0.26914675672228799</v>
      </c>
      <c r="D71" s="2">
        <f t="shared" si="6"/>
        <v>9.1145453868626408E-3</v>
      </c>
      <c r="E71" s="2">
        <f t="shared" si="7"/>
        <v>-0.26891695702833146</v>
      </c>
      <c r="F71" s="2">
        <f t="shared" si="8"/>
        <v>-1.4377823700345129E-2</v>
      </c>
      <c r="G71" s="2">
        <f t="shared" si="9"/>
        <v>1.8149175384412502E-2</v>
      </c>
      <c r="H71" s="2">
        <f t="shared" si="10"/>
        <v>-4.908006387267036E-2</v>
      </c>
      <c r="I71" s="2">
        <f t="shared" si="11"/>
        <v>6.7489888272461829E-2</v>
      </c>
      <c r="J71" s="2">
        <f t="shared" si="12"/>
        <v>0.21721604359283581</v>
      </c>
      <c r="K71" s="5">
        <v>8.9555999999999997E-2</v>
      </c>
      <c r="L71" s="2">
        <v>-1.9453000000000002E-2</v>
      </c>
      <c r="M71" s="2">
        <v>2.9359999999999998E-3</v>
      </c>
    </row>
    <row r="72" spans="2:20" x14ac:dyDescent="0.2">
      <c r="B72" s="2">
        <f t="shared" si="13"/>
        <v>-4</v>
      </c>
      <c r="C72" s="2">
        <f t="shared" si="5"/>
        <v>-0.17862252105183898</v>
      </c>
      <c r="D72" s="2">
        <f t="shared" si="6"/>
        <v>8.7883562479203047E-3</v>
      </c>
      <c r="E72" s="2">
        <f t="shared" si="7"/>
        <v>-0.17880045030995528</v>
      </c>
      <c r="F72" s="2">
        <f t="shared" si="8"/>
        <v>-3.6931289460604647E-3</v>
      </c>
      <c r="G72" s="2">
        <f t="shared" si="9"/>
        <v>-1.1387296043764178E-3</v>
      </c>
      <c r="H72" s="2">
        <f t="shared" si="10"/>
        <v>-4.5838842181865236E-2</v>
      </c>
      <c r="I72" s="2">
        <f t="shared" si="11"/>
        <v>-6.3687177655447624E-3</v>
      </c>
      <c r="J72" s="2">
        <f t="shared" si="12"/>
        <v>0.21721604359283581</v>
      </c>
      <c r="K72" s="5">
        <v>8.9555999999999997E-2</v>
      </c>
      <c r="L72" s="2">
        <v>-1.9453000000000002E-2</v>
      </c>
      <c r="M72" s="2">
        <v>2.9359999999999998E-3</v>
      </c>
    </row>
    <row r="73" spans="2:20" x14ac:dyDescent="0.2">
      <c r="B73" s="2">
        <f t="shared" si="13"/>
        <v>-3</v>
      </c>
      <c r="C73" s="2">
        <f t="shared" si="5"/>
        <v>-8.8043875231122268E-2</v>
      </c>
      <c r="D73" s="2">
        <f t="shared" si="6"/>
        <v>8.566136792357933E-3</v>
      </c>
      <c r="E73" s="2">
        <f t="shared" si="7"/>
        <v>-8.8371531120381291E-2</v>
      </c>
      <c r="F73" s="2">
        <f t="shared" si="8"/>
        <v>3.9465367980412195E-3</v>
      </c>
      <c r="G73" s="2">
        <f t="shared" si="9"/>
        <v>-2.0552783274854353E-2</v>
      </c>
      <c r="H73" s="2">
        <f t="shared" si="10"/>
        <v>-4.2645666054949675E-2</v>
      </c>
      <c r="I73" s="2">
        <f t="shared" si="11"/>
        <v>-0.23257244741925975</v>
      </c>
      <c r="J73" s="2">
        <f t="shared" si="12"/>
        <v>0.21721604359283581</v>
      </c>
      <c r="K73" s="5">
        <v>8.9555999999999997E-2</v>
      </c>
      <c r="L73" s="2">
        <v>-1.9453000000000002E-2</v>
      </c>
      <c r="M73" s="2">
        <v>2.9359999999999998E-3</v>
      </c>
    </row>
    <row r="74" spans="2:20" x14ac:dyDescent="0.2">
      <c r="B74" s="2">
        <f t="shared" si="13"/>
        <v>-2</v>
      </c>
      <c r="C74" s="2">
        <f t="shared" si="5"/>
        <v>2.5615896068899892E-3</v>
      </c>
      <c r="D74" s="2">
        <f t="shared" si="6"/>
        <v>8.4480948589561074E-3</v>
      </c>
      <c r="E74" s="2">
        <f t="shared" si="7"/>
        <v>2.2651948970407523E-3</v>
      </c>
      <c r="F74" s="2">
        <f t="shared" si="8"/>
        <v>8.5323466958667337E-3</v>
      </c>
      <c r="G74" s="2">
        <f t="shared" si="9"/>
        <v>-4.007173052452416E-2</v>
      </c>
      <c r="H74" s="2">
        <f t="shared" si="10"/>
        <v>-3.9505431800263974E-2</v>
      </c>
      <c r="I74" s="2">
        <f t="shared" si="11"/>
        <v>17.690191063415259</v>
      </c>
      <c r="J74" s="2">
        <f t="shared" si="12"/>
        <v>0.21721604359283581</v>
      </c>
      <c r="K74" s="5">
        <v>8.9555999999999997E-2</v>
      </c>
      <c r="L74" s="2">
        <v>-1.9453000000000002E-2</v>
      </c>
      <c r="M74" s="2">
        <v>2.9359999999999998E-3</v>
      </c>
    </row>
    <row r="75" spans="2:20" x14ac:dyDescent="0.2">
      <c r="B75" s="2">
        <f>B74+1</f>
        <v>-1</v>
      </c>
      <c r="C75" s="2">
        <f t="shared" si="5"/>
        <v>9.3166274159893259E-2</v>
      </c>
      <c r="D75" s="2">
        <f t="shared" si="6"/>
        <v>8.4343113436077914E-3</v>
      </c>
      <c r="E75" s="2">
        <f t="shared" si="7"/>
        <v>9.3004885455490488E-2</v>
      </c>
      <c r="F75" s="2">
        <f t="shared" si="8"/>
        <v>1.0059002440023498E-2</v>
      </c>
      <c r="G75" s="2">
        <f t="shared" si="9"/>
        <v>-5.9674201071027416E-2</v>
      </c>
      <c r="H75" s="2">
        <f t="shared" si="10"/>
        <v>-3.6422979707154794E-2</v>
      </c>
      <c r="I75" s="2">
        <f t="shared" si="11"/>
        <v>0.64162437036262787</v>
      </c>
      <c r="J75" s="2">
        <f t="shared" si="12"/>
        <v>0.21721604359283581</v>
      </c>
      <c r="K75" s="5">
        <v>8.9555999999999997E-2</v>
      </c>
      <c r="L75" s="2">
        <v>-1.9453000000000002E-2</v>
      </c>
      <c r="M75" s="2">
        <v>2.9359999999999998E-3</v>
      </c>
    </row>
    <row r="76" spans="2:20" x14ac:dyDescent="0.2">
      <c r="B76" s="2">
        <f t="shared" si="13"/>
        <v>0</v>
      </c>
      <c r="C76" s="2">
        <f t="shared" si="5"/>
        <v>0.18374257936326549</v>
      </c>
      <c r="D76" s="2">
        <f t="shared" si="6"/>
        <v>8.5247401199251855E-3</v>
      </c>
      <c r="E76" s="2">
        <f t="shared" si="7"/>
        <v>0.18374257936326549</v>
      </c>
      <c r="F76" s="2">
        <f t="shared" si="8"/>
        <v>8.5247401199251855E-3</v>
      </c>
      <c r="G76" s="2">
        <f t="shared" si="9"/>
        <v>-7.9338731176019237E-2</v>
      </c>
      <c r="H76" s="2">
        <f t="shared" si="10"/>
        <v>-3.3403086335202864E-2</v>
      </c>
      <c r="I76" s="2">
        <f t="shared" si="11"/>
        <v>0.43179284546323798</v>
      </c>
      <c r="J76" s="2">
        <f t="shared" si="12"/>
        <v>0.21721604359283581</v>
      </c>
      <c r="K76" s="5">
        <v>8.9555999999999997E-2</v>
      </c>
      <c r="L76" s="2">
        <v>-1.9453000000000002E-2</v>
      </c>
      <c r="M76" s="2">
        <v>2.9359999999999998E-3</v>
      </c>
    </row>
    <row r="77" spans="2:20" x14ac:dyDescent="0.2">
      <c r="B77" s="2">
        <f t="shared" si="13"/>
        <v>1</v>
      </c>
      <c r="C77" s="2">
        <f t="shared" si="5"/>
        <v>0.27426291479700937</v>
      </c>
      <c r="D77" s="2">
        <f t="shared" si="6"/>
        <v>8.719208114603515E-3</v>
      </c>
      <c r="E77" s="2">
        <f t="shared" si="7"/>
        <v>0.27437331439049084</v>
      </c>
      <c r="F77" s="2">
        <f t="shared" si="8"/>
        <v>3.9313322772637632E-3</v>
      </c>
      <c r="G77" s="2">
        <f t="shared" si="9"/>
        <v>-9.9043785461641776E-2</v>
      </c>
      <c r="H77" s="2">
        <f t="shared" si="10"/>
        <v>-3.0450456864019065E-2</v>
      </c>
      <c r="I77" s="2">
        <f t="shared" si="11"/>
        <v>0.36098184578067849</v>
      </c>
      <c r="J77" s="2">
        <f t="shared" si="12"/>
        <v>0.21721604359283581</v>
      </c>
      <c r="K77" s="5">
        <v>8.9555999999999997E-2</v>
      </c>
      <c r="L77" s="2">
        <v>-1.9453000000000002E-2</v>
      </c>
      <c r="M77" s="2">
        <v>2.9359999999999998E-3</v>
      </c>
    </row>
    <row r="78" spans="2:20" x14ac:dyDescent="0.2">
      <c r="B78" s="2">
        <f t="shared" si="13"/>
        <v>2</v>
      </c>
      <c r="C78" s="2">
        <f t="shared" si="5"/>
        <v>0.36469970709006155</v>
      </c>
      <c r="D78" s="2">
        <f t="shared" si="6"/>
        <v>9.0174155374440641E-3</v>
      </c>
      <c r="E78" s="2">
        <f t="shared" si="7"/>
        <v>0.3647922451461727</v>
      </c>
      <c r="F78" s="2">
        <f t="shared" si="8"/>
        <v>-3.7159138534516058E-3</v>
      </c>
      <c r="G78" s="2">
        <f t="shared" si="9"/>
        <v>-0.11876777880419585</v>
      </c>
      <c r="H78" s="2">
        <f t="shared" si="10"/>
        <v>-2.7569717517652678E-2</v>
      </c>
      <c r="I78" s="2">
        <f t="shared" si="11"/>
        <v>0.32557649013784673</v>
      </c>
      <c r="J78" s="2">
        <f t="shared" si="12"/>
        <v>0.21721604359283581</v>
      </c>
      <c r="K78" s="5">
        <v>8.9555999999999997E-2</v>
      </c>
      <c r="L78" s="2">
        <v>-1.9453000000000002E-2</v>
      </c>
      <c r="M78" s="2">
        <v>2.9359999999999998E-3</v>
      </c>
    </row>
    <row r="79" spans="2:20" x14ac:dyDescent="0.2">
      <c r="B79" s="2">
        <f>B78+1</f>
        <v>3</v>
      </c>
      <c r="C79" s="2">
        <f t="shared" si="5"/>
        <v>0.45502540831940863</v>
      </c>
      <c r="D79" s="2">
        <f t="shared" si="6"/>
        <v>9.4189362657504019E-3</v>
      </c>
      <c r="E79" s="2">
        <f t="shared" si="7"/>
        <v>0.45489476084778041</v>
      </c>
      <c r="F79" s="2">
        <f t="shared" si="8"/>
        <v>-1.4408161918282912E-2</v>
      </c>
      <c r="G79" s="2">
        <f t="shared" si="9"/>
        <v>-0.13848909828954312</v>
      </c>
      <c r="H79" s="2">
        <f t="shared" si="10"/>
        <v>-2.4765408077598014E-2</v>
      </c>
      <c r="I79" s="2">
        <f t="shared" si="11"/>
        <v>0.30444206047008127</v>
      </c>
      <c r="J79" s="2">
        <f t="shared" si="12"/>
        <v>0.21721604359283581</v>
      </c>
      <c r="K79" s="5">
        <v>8.9555999999999997E-2</v>
      </c>
      <c r="L79" s="2">
        <v>-1.9453000000000002E-2</v>
      </c>
      <c r="M79" s="2">
        <v>2.9359999999999998E-3</v>
      </c>
    </row>
    <row r="80" spans="2:20" x14ac:dyDescent="0.2">
      <c r="B80" s="2">
        <f t="shared" si="13"/>
        <v>4</v>
      </c>
      <c r="C80" s="2">
        <f t="shared" si="5"/>
        <v>0.54521250440145164</v>
      </c>
      <c r="D80" s="2">
        <f t="shared" si="6"/>
        <v>9.9232183826236092E-3</v>
      </c>
      <c r="E80" s="2">
        <f t="shared" si="7"/>
        <v>0.54457660286557907</v>
      </c>
      <c r="F80" s="2">
        <f t="shared" si="8"/>
        <v>-2.8133055826865913E-2</v>
      </c>
      <c r="G80" s="2">
        <f t="shared" si="9"/>
        <v>-0.15818612521469316</v>
      </c>
      <c r="H80" s="2">
        <f t="shared" si="10"/>
        <v>-2.2041974498298395E-2</v>
      </c>
      <c r="I80" s="2">
        <f t="shared" si="11"/>
        <v>0.2904754342774053</v>
      </c>
      <c r="J80" s="2">
        <f t="shared" si="12"/>
        <v>0.21721604359283581</v>
      </c>
      <c r="K80" s="5">
        <v>8.9555999999999997E-2</v>
      </c>
      <c r="L80" s="2">
        <v>-1.9453000000000002E-2</v>
      </c>
      <c r="M80" s="2">
        <v>2.9359999999999998E-3</v>
      </c>
    </row>
    <row r="81" spans="2:13" x14ac:dyDescent="0.2">
      <c r="B81" s="2">
        <f t="shared" si="13"/>
        <v>5</v>
      </c>
      <c r="C81" s="2">
        <f t="shared" si="5"/>
        <v>0.63523352347306172</v>
      </c>
      <c r="D81" s="2">
        <f t="shared" si="6"/>
        <v>1.0529584868494878E-2</v>
      </c>
      <c r="E81" s="2">
        <f t="shared" si="7"/>
        <v>0.63373398192404062</v>
      </c>
      <c r="F81" s="2">
        <f t="shared" si="8"/>
        <v>-4.4874732937404974E-2</v>
      </c>
      <c r="G81" s="2">
        <f t="shared" si="9"/>
        <v>-0.17783725711993881</v>
      </c>
      <c r="H81" s="2">
        <f t="shared" si="10"/>
        <v>-1.9403761638928652E-2</v>
      </c>
      <c r="I81" s="2">
        <f t="shared" si="11"/>
        <v>0.28061814924302797</v>
      </c>
      <c r="J81" s="2">
        <f t="shared" si="12"/>
        <v>0.21721604359283581</v>
      </c>
      <c r="K81" s="5">
        <v>8.9555999999999997E-2</v>
      </c>
      <c r="L81" s="2">
        <v>-1.9453000000000002E-2</v>
      </c>
      <c r="M81" s="2">
        <v>2.9359999999999998E-3</v>
      </c>
    </row>
    <row r="82" spans="2:13" x14ac:dyDescent="0.2">
      <c r="B82" s="2">
        <f t="shared" si="13"/>
        <v>6</v>
      </c>
      <c r="C82" s="2">
        <f t="shared" si="5"/>
        <v>0.72506104425977669</v>
      </c>
      <c r="D82" s="2">
        <f t="shared" si="6"/>
        <v>1.1237234445047112E-2</v>
      </c>
      <c r="E82" s="2">
        <f t="shared" si="7"/>
        <v>0.72226369484285169</v>
      </c>
      <c r="F82" s="2">
        <f t="shared" si="8"/>
        <v>-6.4613841032728617E-2</v>
      </c>
      <c r="G82" s="2">
        <f t="shared" si="9"/>
        <v>-0.19742092983580489</v>
      </c>
      <c r="H82" s="2">
        <f t="shared" si="10"/>
        <v>-1.685500612509197E-2</v>
      </c>
      <c r="I82" s="2">
        <f t="shared" si="11"/>
        <v>0.27333636073007828</v>
      </c>
      <c r="J82" s="2">
        <f t="shared" si="12"/>
        <v>0.21721604359283581</v>
      </c>
      <c r="K82" s="5">
        <v>8.9555999999999997E-2</v>
      </c>
      <c r="L82" s="2">
        <v>-1.9453000000000002E-2</v>
      </c>
      <c r="M82" s="2">
        <v>2.9359999999999998E-3</v>
      </c>
    </row>
    <row r="83" spans="2:13" x14ac:dyDescent="0.2">
      <c r="B83" s="2">
        <f t="shared" si="13"/>
        <v>7</v>
      </c>
      <c r="C83" s="2">
        <f t="shared" si="5"/>
        <v>0.81466770442858594</v>
      </c>
      <c r="D83" s="2">
        <f t="shared" si="6"/>
        <v>1.2045242570491554E-2</v>
      </c>
      <c r="E83" s="2">
        <f t="shared" si="7"/>
        <v>0.81006324070028446</v>
      </c>
      <c r="F83" s="2">
        <f t="shared" si="8"/>
        <v>-8.7327559073162905E-2</v>
      </c>
      <c r="G83" s="2">
        <f t="shared" si="9"/>
        <v>-0.21691563952895865</v>
      </c>
      <c r="H83" s="2">
        <f t="shared" si="10"/>
        <v>-1.4399829353887533E-2</v>
      </c>
      <c r="I83" s="2">
        <f t="shared" si="11"/>
        <v>0.26777617922946256</v>
      </c>
      <c r="J83" s="2">
        <f t="shared" si="12"/>
        <v>0.21721604359283581</v>
      </c>
      <c r="K83" s="5">
        <v>8.9555999999999997E-2</v>
      </c>
      <c r="L83" s="2">
        <v>-1.9453000000000002E-2</v>
      </c>
      <c r="M83" s="2">
        <v>2.9359999999999998E-3</v>
      </c>
    </row>
    <row r="84" spans="2:13" x14ac:dyDescent="0.2">
      <c r="B84" s="2">
        <f t="shared" si="13"/>
        <v>8</v>
      </c>
      <c r="C84" s="2">
        <f t="shared" si="5"/>
        <v>0.9040262089227632</v>
      </c>
      <c r="D84" s="2">
        <f t="shared" si="6"/>
        <v>1.2952562584981023E-2</v>
      </c>
      <c r="E84" s="2">
        <f t="shared" si="7"/>
        <v>0.89703093630203923</v>
      </c>
      <c r="F84" s="2">
        <f t="shared" si="8"/>
        <v>-0.11298962170866945</v>
      </c>
      <c r="G84" s="2">
        <f t="shared" si="9"/>
        <v>-0.2362999647311122</v>
      </c>
      <c r="H84" s="2">
        <f t="shared" si="10"/>
        <v>-1.2042230655602393E-2</v>
      </c>
      <c r="I84" s="2">
        <f t="shared" si="11"/>
        <v>0.26342454331089832</v>
      </c>
      <c r="J84" s="2">
        <f t="shared" si="12"/>
        <v>0.21721604359283581</v>
      </c>
      <c r="K84" s="5">
        <v>8.9555999999999997E-2</v>
      </c>
      <c r="L84" s="2">
        <v>-1.9453000000000002E-2</v>
      </c>
      <c r="M84" s="2">
        <v>2.9359999999999998E-3</v>
      </c>
    </row>
    <row r="85" spans="2:13" x14ac:dyDescent="0.2">
      <c r="B85" s="2">
        <f t="shared" si="13"/>
        <v>9</v>
      </c>
      <c r="C85" s="2">
        <f t="shared" si="5"/>
        <v>0.99310933827620385</v>
      </c>
      <c r="D85" s="2">
        <f t="shared" si="6"/>
        <v>1.3958027004758471E-2</v>
      </c>
      <c r="E85" s="2">
        <f t="shared" si="7"/>
        <v>0.98306603083906563</v>
      </c>
      <c r="F85" s="2">
        <f t="shared" si="8"/>
        <v>-0.14157034752938361</v>
      </c>
      <c r="G85" s="2">
        <f t="shared" si="9"/>
        <v>-0.25555258833480909</v>
      </c>
      <c r="H85" s="2">
        <f t="shared" si="10"/>
        <v>-9.7860806250426868E-3</v>
      </c>
      <c r="I85" s="2">
        <f t="shared" si="11"/>
        <v>0.25995465240182297</v>
      </c>
      <c r="J85" s="2">
        <f t="shared" si="12"/>
        <v>0.21721604359283581</v>
      </c>
      <c r="K85" s="5">
        <v>8.9555999999999997E-2</v>
      </c>
      <c r="L85" s="2">
        <v>-1.9453000000000002E-2</v>
      </c>
      <c r="M85" s="2">
        <v>2.9359999999999998E-3</v>
      </c>
    </row>
    <row r="86" spans="2:13" x14ac:dyDescent="0.2">
      <c r="B86" s="2">
        <f t="shared" si="13"/>
        <v>10</v>
      </c>
      <c r="C86" s="2">
        <f t="shared" si="5"/>
        <v>1.0818899569047395</v>
      </c>
      <c r="D86" s="2">
        <f t="shared" si="6"/>
        <v>1.5060348963458401E-2</v>
      </c>
      <c r="E86" s="2">
        <f t="shared" si="7"/>
        <v>1.0680688196183636</v>
      </c>
      <c r="F86" s="2">
        <f t="shared" si="8"/>
        <v>-0.17303667103037859</v>
      </c>
      <c r="G86" s="2">
        <f t="shared" si="9"/>
        <v>-0.27465231953985036</v>
      </c>
      <c r="H86" s="2">
        <f t="shared" si="10"/>
        <v>-7.6351146352594546E-3</v>
      </c>
      <c r="I86" s="2">
        <f t="shared" si="11"/>
        <v>0.25714852310545644</v>
      </c>
      <c r="J86" s="2">
        <f t="shared" si="12"/>
        <v>0.21721604359283581</v>
      </c>
      <c r="K86" s="5">
        <v>8.9555999999999997E-2</v>
      </c>
      <c r="L86" s="2">
        <v>-1.9453000000000002E-2</v>
      </c>
      <c r="M86" s="2">
        <v>2.9359999999999998E-3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Montgomery</dc:creator>
  <cp:lastModifiedBy>Alexis Montgomery</cp:lastModifiedBy>
  <dcterms:created xsi:type="dcterms:W3CDTF">2026-09-03T16:26:53Z</dcterms:created>
  <dcterms:modified xsi:type="dcterms:W3CDTF">2026-09-14T19:30:03Z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2026-09-03T16:27:00Z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60ed852c-dd4b-4454-8bc4-e2e435d6c97b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