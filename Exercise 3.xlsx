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nton/Personal/School/Aerodynamics/"/>
    </mc:Choice>
  </mc:AlternateContent>
  <xr:revisionPtr revIDLastSave="0" documentId="13_ncr:1_{C1C50455-A50B-2F41-9BBE-0C0DAF5B3EAF}" xr6:coauthVersionLast="47" xr6:coauthVersionMax="47" xr10:uidLastSave="{00000000-0000-0000-0000-000000000000}"/>
  <bookViews>
    <workbookView xWindow="0" yWindow="660" windowWidth="28800" windowHeight="17980" xr2:uid="{F1A33D65-B722-3243-9E24-6CC14129480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3" i="1"/>
  <c r="J39" i="1" l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29" i="1"/>
  <c r="J30" i="1" s="1"/>
  <c r="J31" i="1" s="1"/>
  <c r="J32" i="1" s="1"/>
  <c r="J33" i="1" s="1"/>
  <c r="J34" i="1" s="1"/>
  <c r="J35" i="1" s="1"/>
  <c r="J36" i="1" s="1"/>
  <c r="J37" i="1" s="1"/>
  <c r="J38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4" i="1"/>
</calcChain>
</file>

<file path=xl/sharedStrings.xml><?xml version="1.0" encoding="utf-8"?>
<sst xmlns="http://schemas.openxmlformats.org/spreadsheetml/2006/main" count="12" uniqueCount="8">
  <si>
    <t>Cp</t>
  </si>
  <si>
    <t>theta (deg)</t>
  </si>
  <si>
    <t>Re = 20,000</t>
  </si>
  <si>
    <t>Re = 190,000</t>
  </si>
  <si>
    <t>Re = 670,000</t>
  </si>
  <si>
    <t>This data was digitized from Figure 1.15.4 in the Aerodynamics Of Flight manuscript by Warren F. Phillips</t>
  </si>
  <si>
    <t>theory deg</t>
  </si>
  <si>
    <t>theory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</si>
</sst>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Theory CP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Sheet1!$J$3:$J$183</c:f>
              <c:numCache>
                <c:formatCode>General</c:formatCode>
                <c:ptCount val="18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</c:numCache>
            </c:numRef>
          </c:xVal>
          <c:yVal>
            <c:numRef>
              <c:f>Sheet1!$K$3:$K$183</c:f>
              <c:numCache>
                <c:formatCode>General</c:formatCode>
                <c:ptCount val="181"/>
                <c:pt idx="0">
                  <c:v>1</c:v>
                </c:pt>
                <c:pt idx="1">
                  <c:v>0.99878165403819152</c:v>
                </c:pt>
                <c:pt idx="2">
                  <c:v>0.99512810051964862</c:v>
                </c:pt>
                <c:pt idx="3">
                  <c:v>0.98904379073654669</c:v>
                </c:pt>
                <c:pt idx="4">
                  <c:v>0.9805361374831405</c:v>
                </c:pt>
                <c:pt idx="5">
                  <c:v>0.96961550602441582</c:v>
                </c:pt>
                <c:pt idx="6">
                  <c:v>0.95629520146761104</c:v>
                </c:pt>
                <c:pt idx="7">
                  <c:v>0.94059145255199283</c:v>
                </c:pt>
                <c:pt idx="8">
                  <c:v>0.92252339187663734</c:v>
                </c:pt>
                <c:pt idx="9">
                  <c:v>0.90211303259030706</c:v>
                </c:pt>
                <c:pt idx="10">
                  <c:v>0.87938524157181686</c:v>
                </c:pt>
                <c:pt idx="11">
                  <c:v>0.85436770913357463</c:v>
                </c:pt>
                <c:pt idx="12">
                  <c:v>0.82709091528520184</c:v>
                </c:pt>
                <c:pt idx="13">
                  <c:v>0.79758809259833441</c:v>
                </c:pt>
                <c:pt idx="14">
                  <c:v>0.76589518571785387</c:v>
                </c:pt>
                <c:pt idx="15">
                  <c:v>0.73205080756887675</c:v>
                </c:pt>
                <c:pt idx="16">
                  <c:v>0.69609619231285091</c:v>
                </c:pt>
                <c:pt idx="17">
                  <c:v>0.65807514511008258</c:v>
                </c:pt>
                <c:pt idx="18">
                  <c:v>0.61803398874989468</c:v>
                </c:pt>
                <c:pt idx="19">
                  <c:v>0.57602150721344292</c:v>
                </c:pt>
                <c:pt idx="20">
                  <c:v>0.53208888623795569</c:v>
                </c:pt>
                <c:pt idx="21">
                  <c:v>0.4862896509547886</c:v>
                </c:pt>
                <c:pt idx="22">
                  <c:v>0.43867960067730172</c:v>
                </c:pt>
                <c:pt idx="23">
                  <c:v>0.38931674091799329</c:v>
                </c:pt>
                <c:pt idx="24">
                  <c:v>0.3382612127177157</c:v>
                </c:pt>
                <c:pt idx="25">
                  <c:v>0.28557521937307839</c:v>
                </c:pt>
                <c:pt idx="26">
                  <c:v>0.23132295065131703</c:v>
                </c:pt>
                <c:pt idx="27">
                  <c:v>0.17557050458494605</c:v>
                </c:pt>
                <c:pt idx="28">
                  <c:v>0.11838580694149248</c:v>
                </c:pt>
                <c:pt idx="29">
                  <c:v>5.9838528466409358E-2</c:v>
                </c:pt>
                <c:pt idx="30">
                  <c:v>0</c:v>
                </c:pt>
                <c:pt idx="31">
                  <c:v>-6.1056874428219166E-2</c:v>
                </c:pt>
                <c:pt idx="32">
                  <c:v>-0.12325770642184541</c:v>
                </c:pt>
                <c:pt idx="33">
                  <c:v>-0.18652671384839903</c:v>
                </c:pt>
                <c:pt idx="34">
                  <c:v>-0.2507868131681763</c:v>
                </c:pt>
                <c:pt idx="35">
                  <c:v>-0.3159597133486638</c:v>
                </c:pt>
                <c:pt idx="36">
                  <c:v>-0.38196601125010576</c:v>
                </c:pt>
                <c:pt idx="37">
                  <c:v>-0.44872528836600112</c:v>
                </c:pt>
                <c:pt idx="38">
                  <c:v>-0.51615620880066526</c:v>
                </c:pt>
                <c:pt idx="39">
                  <c:v>-0.58417661836448276</c:v>
                </c:pt>
                <c:pt idx="40">
                  <c:v>-0.65270364466614006</c:v>
                </c:pt>
                <c:pt idx="41">
                  <c:v>-0.72165379807986896</c:v>
                </c:pt>
                <c:pt idx="42">
                  <c:v>-0.79094307346469428</c:v>
                </c:pt>
                <c:pt idx="43">
                  <c:v>-0.86048705251174984</c:v>
                </c:pt>
                <c:pt idx="44">
                  <c:v>-0.93020100659499727</c:v>
                </c:pt>
                <c:pt idx="45">
                  <c:v>-1.0000000000000004</c:v>
                </c:pt>
                <c:pt idx="46">
                  <c:v>-1.0697989934050036</c:v>
                </c:pt>
                <c:pt idx="47">
                  <c:v>-1.1395129474882513</c:v>
                </c:pt>
                <c:pt idx="48">
                  <c:v>-1.2090569265353071</c:v>
                </c:pt>
                <c:pt idx="49">
                  <c:v>-1.2783462019201304</c:v>
                </c:pt>
                <c:pt idx="50">
                  <c:v>-1.3472963553338606</c:v>
                </c:pt>
                <c:pt idx="51">
                  <c:v>-1.4158233816355197</c:v>
                </c:pt>
                <c:pt idx="52">
                  <c:v>-1.4838437911993356</c:v>
                </c:pt>
                <c:pt idx="53">
                  <c:v>-1.5512747116339978</c:v>
                </c:pt>
                <c:pt idx="54">
                  <c:v>-1.6180339887498949</c:v>
                </c:pt>
                <c:pt idx="55">
                  <c:v>-1.6840402866513391</c:v>
                </c:pt>
                <c:pt idx="56">
                  <c:v>-1.7492131868318244</c:v>
                </c:pt>
                <c:pt idx="57">
                  <c:v>-1.8134732861516007</c:v>
                </c:pt>
                <c:pt idx="58">
                  <c:v>-1.8767422935781557</c:v>
                </c:pt>
                <c:pt idx="59">
                  <c:v>-1.9389431255717819</c:v>
                </c:pt>
                <c:pt idx="60">
                  <c:v>-2.0000000000000004</c:v>
                </c:pt>
                <c:pt idx="61">
                  <c:v>-2.0598385284664102</c:v>
                </c:pt>
                <c:pt idx="62">
                  <c:v>-2.1183858069414949</c:v>
                </c:pt>
                <c:pt idx="63">
                  <c:v>-2.1755705045849467</c:v>
                </c:pt>
                <c:pt idx="64">
                  <c:v>-2.2313229506513159</c:v>
                </c:pt>
                <c:pt idx="65">
                  <c:v>-2.2855752193730794</c:v>
                </c:pt>
                <c:pt idx="66">
                  <c:v>-2.3382612127177169</c:v>
                </c:pt>
                <c:pt idx="67">
                  <c:v>-2.389316740917995</c:v>
                </c:pt>
                <c:pt idx="68">
                  <c:v>-2.4386796006773026</c:v>
                </c:pt>
                <c:pt idx="69">
                  <c:v>-2.4862896509547885</c:v>
                </c:pt>
                <c:pt idx="70">
                  <c:v>-2.5320888862379562</c:v>
                </c:pt>
                <c:pt idx="71">
                  <c:v>-2.576021507213444</c:v>
                </c:pt>
                <c:pt idx="72">
                  <c:v>-2.6180339887498953</c:v>
                </c:pt>
                <c:pt idx="73">
                  <c:v>-2.6580751451100837</c:v>
                </c:pt>
                <c:pt idx="74">
                  <c:v>-2.6960961923128521</c:v>
                </c:pt>
                <c:pt idx="75">
                  <c:v>-2.7320508075688776</c:v>
                </c:pt>
                <c:pt idx="76">
                  <c:v>-2.765895185717854</c:v>
                </c:pt>
                <c:pt idx="77">
                  <c:v>-2.7975880925983341</c:v>
                </c:pt>
                <c:pt idx="78">
                  <c:v>-2.8270909152852024</c:v>
                </c:pt>
                <c:pt idx="79">
                  <c:v>-2.8543677091335748</c:v>
                </c:pt>
                <c:pt idx="80">
                  <c:v>-2.8793852415718164</c:v>
                </c:pt>
                <c:pt idx="81">
                  <c:v>-2.9021130325903064</c:v>
                </c:pt>
                <c:pt idx="82">
                  <c:v>-2.9225233918766382</c:v>
                </c:pt>
                <c:pt idx="83">
                  <c:v>-2.9405914525519936</c:v>
                </c:pt>
                <c:pt idx="84">
                  <c:v>-2.9562952014676118</c:v>
                </c:pt>
                <c:pt idx="85">
                  <c:v>-2.9696155060244163</c:v>
                </c:pt>
                <c:pt idx="86">
                  <c:v>-2.9805361374831403</c:v>
                </c:pt>
                <c:pt idx="87">
                  <c:v>-2.9890437907365461</c:v>
                </c:pt>
                <c:pt idx="88">
                  <c:v>-2.9951281005196488</c:v>
                </c:pt>
                <c:pt idx="89">
                  <c:v>-2.9987816540381917</c:v>
                </c:pt>
                <c:pt idx="90">
                  <c:v>-3</c:v>
                </c:pt>
                <c:pt idx="91">
                  <c:v>-2.9987816540381917</c:v>
                </c:pt>
                <c:pt idx="92">
                  <c:v>-2.9951281005196488</c:v>
                </c:pt>
                <c:pt idx="93">
                  <c:v>-2.9890437907365461</c:v>
                </c:pt>
                <c:pt idx="94">
                  <c:v>-2.9805361374831403</c:v>
                </c:pt>
                <c:pt idx="95">
                  <c:v>-2.9696155060244163</c:v>
                </c:pt>
                <c:pt idx="96">
                  <c:v>-2.9562952014676109</c:v>
                </c:pt>
                <c:pt idx="97">
                  <c:v>-2.9405914525519927</c:v>
                </c:pt>
                <c:pt idx="98">
                  <c:v>-2.9225233918766373</c:v>
                </c:pt>
                <c:pt idx="99">
                  <c:v>-2.9021130325903073</c:v>
                </c:pt>
                <c:pt idx="100">
                  <c:v>-2.8793852415718164</c:v>
                </c:pt>
                <c:pt idx="101">
                  <c:v>-2.8543677091335748</c:v>
                </c:pt>
                <c:pt idx="102">
                  <c:v>-2.8270909152852015</c:v>
                </c:pt>
                <c:pt idx="103">
                  <c:v>-2.7975880925983341</c:v>
                </c:pt>
                <c:pt idx="104">
                  <c:v>-2.765895185717854</c:v>
                </c:pt>
                <c:pt idx="105">
                  <c:v>-2.7320508075688776</c:v>
                </c:pt>
                <c:pt idx="106">
                  <c:v>-2.6960961923128521</c:v>
                </c:pt>
                <c:pt idx="107">
                  <c:v>-2.6580751451100832</c:v>
                </c:pt>
                <c:pt idx="108">
                  <c:v>-2.6180339887498945</c:v>
                </c:pt>
                <c:pt idx="109">
                  <c:v>-2.5760215072134431</c:v>
                </c:pt>
                <c:pt idx="110">
                  <c:v>-2.5320888862379554</c:v>
                </c:pt>
                <c:pt idx="111">
                  <c:v>-2.4862896509547885</c:v>
                </c:pt>
                <c:pt idx="112">
                  <c:v>-2.4386796006773026</c:v>
                </c:pt>
                <c:pt idx="113">
                  <c:v>-2.3893167409179941</c:v>
                </c:pt>
                <c:pt idx="114">
                  <c:v>-2.338261212717716</c:v>
                </c:pt>
                <c:pt idx="115">
                  <c:v>-2.2855752193730785</c:v>
                </c:pt>
                <c:pt idx="116">
                  <c:v>-2.2313229506513159</c:v>
                </c:pt>
                <c:pt idx="117">
                  <c:v>-2.1755705045849467</c:v>
                </c:pt>
                <c:pt idx="118">
                  <c:v>-2.1183858069414931</c:v>
                </c:pt>
                <c:pt idx="119">
                  <c:v>-2.0598385284664094</c:v>
                </c:pt>
                <c:pt idx="120">
                  <c:v>-1.9999999999999996</c:v>
                </c:pt>
                <c:pt idx="121">
                  <c:v>-1.9389431255717811</c:v>
                </c:pt>
                <c:pt idx="122">
                  <c:v>-1.8767422935781548</c:v>
                </c:pt>
                <c:pt idx="123">
                  <c:v>-1.8134732861515999</c:v>
                </c:pt>
                <c:pt idx="124">
                  <c:v>-1.7492131868318244</c:v>
                </c:pt>
                <c:pt idx="125">
                  <c:v>-1.6840402866513373</c:v>
                </c:pt>
                <c:pt idx="126">
                  <c:v>-1.6180339887498949</c:v>
                </c:pt>
                <c:pt idx="127">
                  <c:v>-1.5512747116339982</c:v>
                </c:pt>
                <c:pt idx="128">
                  <c:v>-1.4838437911993356</c:v>
                </c:pt>
                <c:pt idx="129">
                  <c:v>-1.4158233816355179</c:v>
                </c:pt>
                <c:pt idx="130">
                  <c:v>-1.3472963553338606</c:v>
                </c:pt>
                <c:pt idx="131">
                  <c:v>-1.2783462019201308</c:v>
                </c:pt>
                <c:pt idx="132">
                  <c:v>-1.2090569265353071</c:v>
                </c:pt>
                <c:pt idx="133">
                  <c:v>-1.1395129474882504</c:v>
                </c:pt>
                <c:pt idx="134">
                  <c:v>-1.0697989934050014</c:v>
                </c:pt>
                <c:pt idx="135">
                  <c:v>-0.99999999999999956</c:v>
                </c:pt>
                <c:pt idx="136">
                  <c:v>-0.93020100659499794</c:v>
                </c:pt>
                <c:pt idx="137">
                  <c:v>-0.86048705251174917</c:v>
                </c:pt>
                <c:pt idx="138">
                  <c:v>-0.79094307346469317</c:v>
                </c:pt>
                <c:pt idx="139">
                  <c:v>-0.72165379807986851</c:v>
                </c:pt>
                <c:pt idx="140">
                  <c:v>-0.65270364466613895</c:v>
                </c:pt>
                <c:pt idx="141">
                  <c:v>-0.58417661836448098</c:v>
                </c:pt>
                <c:pt idx="142">
                  <c:v>-0.51615620880066415</c:v>
                </c:pt>
                <c:pt idx="143">
                  <c:v>-0.44872528836600156</c:v>
                </c:pt>
                <c:pt idx="144">
                  <c:v>-0.3819660112501051</c:v>
                </c:pt>
                <c:pt idx="145">
                  <c:v>-0.31595971334866224</c:v>
                </c:pt>
                <c:pt idx="146">
                  <c:v>-0.2507868131681763</c:v>
                </c:pt>
                <c:pt idx="147">
                  <c:v>-0.18652671384839969</c:v>
                </c:pt>
                <c:pt idx="148">
                  <c:v>-0.12325770642184497</c:v>
                </c:pt>
                <c:pt idx="149">
                  <c:v>-6.1056874428218277E-2</c:v>
                </c:pt>
                <c:pt idx="150">
                  <c:v>0</c:v>
                </c:pt>
                <c:pt idx="151">
                  <c:v>5.9838528466409802E-2</c:v>
                </c:pt>
                <c:pt idx="152">
                  <c:v>0.11838580694149359</c:v>
                </c:pt>
                <c:pt idx="153">
                  <c:v>0.17557050458494616</c:v>
                </c:pt>
                <c:pt idx="154">
                  <c:v>0.23132295065131636</c:v>
                </c:pt>
                <c:pt idx="155">
                  <c:v>0.28557521937307861</c:v>
                </c:pt>
                <c:pt idx="156">
                  <c:v>0.33826121271771659</c:v>
                </c:pt>
                <c:pt idx="157">
                  <c:v>0.38931674091799473</c:v>
                </c:pt>
                <c:pt idx="158">
                  <c:v>0.43867960067730238</c:v>
                </c:pt>
                <c:pt idx="159">
                  <c:v>0.48628965095478849</c:v>
                </c:pt>
                <c:pt idx="160">
                  <c:v>0.53208888623795614</c:v>
                </c:pt>
                <c:pt idx="161">
                  <c:v>0.57602150721344403</c:v>
                </c:pt>
                <c:pt idx="162">
                  <c:v>0.6180339887498949</c:v>
                </c:pt>
                <c:pt idx="163">
                  <c:v>0.65807514511008325</c:v>
                </c:pt>
                <c:pt idx="164">
                  <c:v>0.69609619231285191</c:v>
                </c:pt>
                <c:pt idx="165">
                  <c:v>0.73205080756887742</c:v>
                </c:pt>
                <c:pt idx="166">
                  <c:v>0.76589518571785387</c:v>
                </c:pt>
                <c:pt idx="167">
                  <c:v>0.79758809259833396</c:v>
                </c:pt>
                <c:pt idx="168">
                  <c:v>0.82709091528520184</c:v>
                </c:pt>
                <c:pt idx="169">
                  <c:v>0.85436770913357485</c:v>
                </c:pt>
                <c:pt idx="170">
                  <c:v>0.87938524157181674</c:v>
                </c:pt>
                <c:pt idx="171">
                  <c:v>0.90211303259030717</c:v>
                </c:pt>
                <c:pt idx="172">
                  <c:v>0.92252339187663779</c:v>
                </c:pt>
                <c:pt idx="173">
                  <c:v>0.94059145255199295</c:v>
                </c:pt>
                <c:pt idx="174">
                  <c:v>0.95629520146761127</c:v>
                </c:pt>
                <c:pt idx="175">
                  <c:v>0.96961550602441615</c:v>
                </c:pt>
                <c:pt idx="176">
                  <c:v>0.98053613748314061</c:v>
                </c:pt>
                <c:pt idx="177">
                  <c:v>0.98904379073654669</c:v>
                </c:pt>
                <c:pt idx="178">
                  <c:v>0.99512810051964851</c:v>
                </c:pt>
                <c:pt idx="179">
                  <c:v>0.99878165403819141</c:v>
                </c:pt>
                <c:pt idx="1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40-0F41-AAFB-B383B86E3375}"/>
            </c:ext>
          </c:extLst>
        </c:ser>
        <c:ser>
          <c:idx val="0"/>
          <c:order val="1"/>
          <c:tx>
            <c:v>Re = 20,000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Sheet1!$A$3:$A$27</c:f>
              <c:numCache>
                <c:formatCode>General</c:formatCode>
                <c:ptCount val="25"/>
                <c:pt idx="0">
                  <c:v>-176.50664</c:v>
                </c:pt>
                <c:pt idx="1">
                  <c:v>-165.01532</c:v>
                </c:pt>
                <c:pt idx="2">
                  <c:v>-159.22370000000001</c:v>
                </c:pt>
                <c:pt idx="3">
                  <c:v>-151.40960000000001</c:v>
                </c:pt>
                <c:pt idx="4">
                  <c:v>-145.61797999999999</c:v>
                </c:pt>
                <c:pt idx="5">
                  <c:v>-138.99897999999999</c:v>
                </c:pt>
                <c:pt idx="6">
                  <c:v>-134.31052</c:v>
                </c:pt>
                <c:pt idx="7">
                  <c:v>-128.05923999999999</c:v>
                </c:pt>
                <c:pt idx="8">
                  <c:v>-118.49847</c:v>
                </c:pt>
                <c:pt idx="9">
                  <c:v>-113.90194</c:v>
                </c:pt>
                <c:pt idx="10">
                  <c:v>-108.47803999999999</c:v>
                </c:pt>
                <c:pt idx="11">
                  <c:v>-103.14606999999999</c:v>
                </c:pt>
                <c:pt idx="12">
                  <c:v>-100.66394</c:v>
                </c:pt>
                <c:pt idx="13">
                  <c:v>-93.769149999999996</c:v>
                </c:pt>
                <c:pt idx="14">
                  <c:v>-78.600610000000003</c:v>
                </c:pt>
                <c:pt idx="15">
                  <c:v>-71.246170000000006</c:v>
                </c:pt>
                <c:pt idx="16">
                  <c:v>-60.766089999999998</c:v>
                </c:pt>
                <c:pt idx="17">
                  <c:v>-50.377940000000002</c:v>
                </c:pt>
                <c:pt idx="18">
                  <c:v>-41.828400000000002</c:v>
                </c:pt>
                <c:pt idx="19">
                  <c:v>-36.404490000000003</c:v>
                </c:pt>
                <c:pt idx="20">
                  <c:v>-26.75179</c:v>
                </c:pt>
                <c:pt idx="21">
                  <c:v>-22.798770000000001</c:v>
                </c:pt>
                <c:pt idx="22">
                  <c:v>-15.076610000000001</c:v>
                </c:pt>
                <c:pt idx="23">
                  <c:v>-10.112360000000001</c:v>
                </c:pt>
                <c:pt idx="24">
                  <c:v>-2.29826</c:v>
                </c:pt>
              </c:numCache>
            </c:numRef>
          </c:xVal>
          <c:yVal>
            <c:numRef>
              <c:f>Sheet1!$B$3:$B$27</c:f>
              <c:numCache>
                <c:formatCode>General</c:formatCode>
                <c:ptCount val="25"/>
                <c:pt idx="0">
                  <c:v>0.99994000000000005</c:v>
                </c:pt>
                <c:pt idx="1">
                  <c:v>0.75604000000000005</c:v>
                </c:pt>
                <c:pt idx="2">
                  <c:v>0.53200000000000003</c:v>
                </c:pt>
                <c:pt idx="3">
                  <c:v>0.20255000000000001</c:v>
                </c:pt>
                <c:pt idx="4">
                  <c:v>-3.1359999999999999E-2</c:v>
                </c:pt>
                <c:pt idx="5">
                  <c:v>-0.21919</c:v>
                </c:pt>
                <c:pt idx="6">
                  <c:v>-0.44650000000000001</c:v>
                </c:pt>
                <c:pt idx="7">
                  <c:v>-0.68371999999999999</c:v>
                </c:pt>
                <c:pt idx="8">
                  <c:v>-0.96050999999999997</c:v>
                </c:pt>
                <c:pt idx="9">
                  <c:v>-1.05609</c:v>
                </c:pt>
                <c:pt idx="10">
                  <c:v>-1.1879200000000001</c:v>
                </c:pt>
                <c:pt idx="11">
                  <c:v>-1.06288</c:v>
                </c:pt>
                <c:pt idx="12">
                  <c:v>-0.99705999999999995</c:v>
                </c:pt>
                <c:pt idx="13">
                  <c:v>-0.81606999999999996</c:v>
                </c:pt>
                <c:pt idx="14">
                  <c:v>-0.84269000000000005</c:v>
                </c:pt>
                <c:pt idx="15">
                  <c:v>-0.89551000000000003</c:v>
                </c:pt>
                <c:pt idx="16">
                  <c:v>-1.00108</c:v>
                </c:pt>
                <c:pt idx="17">
                  <c:v>-1.03091</c:v>
                </c:pt>
                <c:pt idx="18">
                  <c:v>-1.04095</c:v>
                </c:pt>
                <c:pt idx="19">
                  <c:v>-1.1167899999999999</c:v>
                </c:pt>
                <c:pt idx="20">
                  <c:v>-1.16307</c:v>
                </c:pt>
                <c:pt idx="21">
                  <c:v>-1.1631400000000001</c:v>
                </c:pt>
                <c:pt idx="22">
                  <c:v>-1.1632800000000001</c:v>
                </c:pt>
                <c:pt idx="23">
                  <c:v>-1.1765399999999999</c:v>
                </c:pt>
                <c:pt idx="24">
                  <c:v>-1.1668099999999999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E-5D45-B9F3-6E8C8F59DAC3}"/>
            </c:ext>
          </c:extLst>
        </c:ser>
        <c:ser>
          <c:idx val="1"/>
          <c:order val="2"/>
          <c:tx>
            <c:v>Re = 190,000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Sheet1!$D$3:$D$27</c:f>
              <c:numCache>
                <c:formatCode>General</c:formatCode>
                <c:ptCount val="25"/>
                <c:pt idx="0">
                  <c:v>-175.03575000000001</c:v>
                </c:pt>
                <c:pt idx="1">
                  <c:v>-169.97957</c:v>
                </c:pt>
                <c:pt idx="2">
                  <c:v>-164.64760000000001</c:v>
                </c:pt>
                <c:pt idx="3">
                  <c:v>-158.12053</c:v>
                </c:pt>
                <c:pt idx="4">
                  <c:v>-152.23697999999999</c:v>
                </c:pt>
                <c:pt idx="5">
                  <c:v>-146.44534999999999</c:v>
                </c:pt>
                <c:pt idx="6">
                  <c:v>-142.58427</c:v>
                </c:pt>
                <c:pt idx="7">
                  <c:v>-137.89581000000001</c:v>
                </c:pt>
                <c:pt idx="8">
                  <c:v>-133.20734999999999</c:v>
                </c:pt>
                <c:pt idx="9">
                  <c:v>-125.85290999999999</c:v>
                </c:pt>
                <c:pt idx="10">
                  <c:v>-120.52094</c:v>
                </c:pt>
                <c:pt idx="11">
                  <c:v>-111.87947</c:v>
                </c:pt>
                <c:pt idx="12">
                  <c:v>-108.38611</c:v>
                </c:pt>
                <c:pt idx="13">
                  <c:v>-104.89275000000001</c:v>
                </c:pt>
                <c:pt idx="14">
                  <c:v>-102.96221</c:v>
                </c:pt>
                <c:pt idx="15">
                  <c:v>-98.641469999999998</c:v>
                </c:pt>
                <c:pt idx="16">
                  <c:v>-91.378960000000006</c:v>
                </c:pt>
                <c:pt idx="17">
                  <c:v>-82.461699999999993</c:v>
                </c:pt>
                <c:pt idx="18">
                  <c:v>-72.073539999999994</c:v>
                </c:pt>
                <c:pt idx="19">
                  <c:v>-56.169559999999997</c:v>
                </c:pt>
                <c:pt idx="20">
                  <c:v>-45.965269999999997</c:v>
                </c:pt>
                <c:pt idx="21">
                  <c:v>-33.278860000000002</c:v>
                </c:pt>
                <c:pt idx="22">
                  <c:v>-20.960159999999998</c:v>
                </c:pt>
                <c:pt idx="23">
                  <c:v>-13.238</c:v>
                </c:pt>
                <c:pt idx="24">
                  <c:v>-5.79162</c:v>
                </c:pt>
              </c:numCache>
            </c:numRef>
          </c:xVal>
          <c:yVal>
            <c:numRef>
              <c:f>Sheet1!$E$3:$E$27</c:f>
              <c:numCache>
                <c:formatCode>General</c:formatCode>
                <c:ptCount val="25"/>
                <c:pt idx="0">
                  <c:v>0.98673999999999995</c:v>
                </c:pt>
                <c:pt idx="1">
                  <c:v>0.86480000000000001</c:v>
                </c:pt>
                <c:pt idx="2">
                  <c:v>0.72309999999999997</c:v>
                </c:pt>
                <c:pt idx="3">
                  <c:v>0.50563999999999998</c:v>
                </c:pt>
                <c:pt idx="4">
                  <c:v>0.28160000000000002</c:v>
                </c:pt>
                <c:pt idx="5">
                  <c:v>4.4389999999999999E-2</c:v>
                </c:pt>
                <c:pt idx="6">
                  <c:v>-0.16972999999999999</c:v>
                </c:pt>
                <c:pt idx="7">
                  <c:v>-0.39374999999999999</c:v>
                </c:pt>
                <c:pt idx="8">
                  <c:v>-0.53873000000000004</c:v>
                </c:pt>
                <c:pt idx="9">
                  <c:v>-0.76607999999999998</c:v>
                </c:pt>
                <c:pt idx="10">
                  <c:v>-0.93742000000000003</c:v>
                </c:pt>
                <c:pt idx="11">
                  <c:v>-1.2109099999999999</c:v>
                </c:pt>
                <c:pt idx="12">
                  <c:v>-1.05949</c:v>
                </c:pt>
                <c:pt idx="13">
                  <c:v>-0.99039999999999995</c:v>
                </c:pt>
                <c:pt idx="14">
                  <c:v>-0.90481</c:v>
                </c:pt>
                <c:pt idx="15">
                  <c:v>-0.64473999999999998</c:v>
                </c:pt>
                <c:pt idx="16">
                  <c:v>-0.70743999999999996</c:v>
                </c:pt>
                <c:pt idx="17">
                  <c:v>-0.93152999999999997</c:v>
                </c:pt>
                <c:pt idx="18">
                  <c:v>-1.0107600000000001</c:v>
                </c:pt>
                <c:pt idx="19">
                  <c:v>-1.0900799999999999</c:v>
                </c:pt>
                <c:pt idx="20">
                  <c:v>-1.1232</c:v>
                </c:pt>
                <c:pt idx="21">
                  <c:v>-1.1827099999999999</c:v>
                </c:pt>
                <c:pt idx="22">
                  <c:v>-1.1236600000000001</c:v>
                </c:pt>
                <c:pt idx="23">
                  <c:v>-1.13697</c:v>
                </c:pt>
                <c:pt idx="24">
                  <c:v>-1.1667400000000001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40-0F41-AAFB-B383B86E3375}"/>
            </c:ext>
          </c:extLst>
        </c:ser>
        <c:ser>
          <c:idx val="2"/>
          <c:order val="3"/>
          <c:tx>
            <c:v>Re = 670,000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Sheet1!$G$3:$G$33</c:f>
              <c:numCache>
                <c:formatCode>General</c:formatCode>
                <c:ptCount val="31"/>
                <c:pt idx="0">
                  <c:v>-176.87436</c:v>
                </c:pt>
                <c:pt idx="1">
                  <c:v>-167.31359</c:v>
                </c:pt>
                <c:pt idx="2">
                  <c:v>-159.13176999999999</c:v>
                </c:pt>
                <c:pt idx="3">
                  <c:v>-153.34013999999999</c:v>
                </c:pt>
                <c:pt idx="4">
                  <c:v>-147.45659000000001</c:v>
                </c:pt>
                <c:pt idx="5">
                  <c:v>-142.12461999999999</c:v>
                </c:pt>
                <c:pt idx="6">
                  <c:v>-135.96527</c:v>
                </c:pt>
                <c:pt idx="7">
                  <c:v>-129.80591999999999</c:v>
                </c:pt>
                <c:pt idx="8">
                  <c:v>-123.18693</c:v>
                </c:pt>
                <c:pt idx="9">
                  <c:v>-117.39530000000001</c:v>
                </c:pt>
                <c:pt idx="10">
                  <c:v>-111.51175000000001</c:v>
                </c:pt>
                <c:pt idx="11">
                  <c:v>-103.78958</c:v>
                </c:pt>
                <c:pt idx="12">
                  <c:v>-97.997960000000006</c:v>
                </c:pt>
                <c:pt idx="13">
                  <c:v>-93.769149999999996</c:v>
                </c:pt>
                <c:pt idx="14">
                  <c:v>-88.345249999999993</c:v>
                </c:pt>
                <c:pt idx="15">
                  <c:v>-84.851889999999997</c:v>
                </c:pt>
                <c:pt idx="16">
                  <c:v>-84.11645</c:v>
                </c:pt>
                <c:pt idx="17">
                  <c:v>-78.232889999999998</c:v>
                </c:pt>
                <c:pt idx="18">
                  <c:v>-74.739530000000002</c:v>
                </c:pt>
                <c:pt idx="19">
                  <c:v>-68.947909999999993</c:v>
                </c:pt>
                <c:pt idx="20">
                  <c:v>-67.017359999999996</c:v>
                </c:pt>
                <c:pt idx="21">
                  <c:v>-66.28192</c:v>
                </c:pt>
                <c:pt idx="22">
                  <c:v>-63.524000000000001</c:v>
                </c:pt>
                <c:pt idx="23">
                  <c:v>-59.295200000000001</c:v>
                </c:pt>
                <c:pt idx="24">
                  <c:v>-53.135849999999998</c:v>
                </c:pt>
                <c:pt idx="25">
                  <c:v>-45.689480000000003</c:v>
                </c:pt>
                <c:pt idx="26">
                  <c:v>-36.404490000000003</c:v>
                </c:pt>
                <c:pt idx="27">
                  <c:v>-27.119509999999998</c:v>
                </c:pt>
                <c:pt idx="28">
                  <c:v>-22.063330000000001</c:v>
                </c:pt>
                <c:pt idx="29">
                  <c:v>-13.14607</c:v>
                </c:pt>
                <c:pt idx="30">
                  <c:v>-5.0561800000000003</c:v>
                </c:pt>
              </c:numCache>
            </c:numRef>
          </c:xVal>
          <c:yVal>
            <c:numRef>
              <c:f>Sheet1!$H$3:$H$33</c:f>
              <c:numCache>
                <c:formatCode>General</c:formatCode>
                <c:ptCount val="31"/>
                <c:pt idx="0">
                  <c:v>0.98677000000000004</c:v>
                </c:pt>
                <c:pt idx="1">
                  <c:v>0.77583999999999997</c:v>
                </c:pt>
                <c:pt idx="2">
                  <c:v>0.50895000000000001</c:v>
                </c:pt>
                <c:pt idx="3">
                  <c:v>0.17624000000000001</c:v>
                </c:pt>
                <c:pt idx="4">
                  <c:v>-7.4139999999999998E-2</c:v>
                </c:pt>
                <c:pt idx="5">
                  <c:v>-0.40683999999999998</c:v>
                </c:pt>
                <c:pt idx="6">
                  <c:v>-0.77907000000000004</c:v>
                </c:pt>
                <c:pt idx="7">
                  <c:v>-1.1216600000000001</c:v>
                </c:pt>
                <c:pt idx="8">
                  <c:v>-1.5465899999999999</c:v>
                </c:pt>
                <c:pt idx="9">
                  <c:v>-1.8496600000000001</c:v>
                </c:pt>
                <c:pt idx="10">
                  <c:v>-2.1823700000000001</c:v>
                </c:pt>
                <c:pt idx="11">
                  <c:v>-2.4723099999999998</c:v>
                </c:pt>
                <c:pt idx="12">
                  <c:v>-2.6173099999999998</c:v>
                </c:pt>
                <c:pt idx="13">
                  <c:v>-2.6173799999999998</c:v>
                </c:pt>
                <c:pt idx="14">
                  <c:v>-2.5384500000000001</c:v>
                </c:pt>
                <c:pt idx="15">
                  <c:v>-2.3804500000000002</c:v>
                </c:pt>
                <c:pt idx="16">
                  <c:v>-2.1664099999999999</c:v>
                </c:pt>
                <c:pt idx="17">
                  <c:v>-2.0874799999999998</c:v>
                </c:pt>
                <c:pt idx="18">
                  <c:v>-1.93936</c:v>
                </c:pt>
                <c:pt idx="19">
                  <c:v>-1.3994</c:v>
                </c:pt>
                <c:pt idx="20">
                  <c:v>-1.08</c:v>
                </c:pt>
                <c:pt idx="21">
                  <c:v>-0.85609000000000002</c:v>
                </c:pt>
                <c:pt idx="22">
                  <c:v>-0.62890999999999997</c:v>
                </c:pt>
                <c:pt idx="23">
                  <c:v>-0.36554999999999999</c:v>
                </c:pt>
                <c:pt idx="24">
                  <c:v>-0.21747</c:v>
                </c:pt>
                <c:pt idx="25">
                  <c:v>-0.16821</c:v>
                </c:pt>
                <c:pt idx="26">
                  <c:v>-0.17826</c:v>
                </c:pt>
                <c:pt idx="27">
                  <c:v>-0.20807</c:v>
                </c:pt>
                <c:pt idx="28">
                  <c:v>-0.16535</c:v>
                </c:pt>
                <c:pt idx="29">
                  <c:v>-0.1721</c:v>
                </c:pt>
                <c:pt idx="30">
                  <c:v>-0.11626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40-0F41-AAFB-B383B86E3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30992"/>
        <c:axId val="482856848"/>
      </c:scatterChart>
      <c:valAx>
        <c:axId val="482030992"/>
        <c:scaling>
          <c:orientation val="minMax"/>
          <c:max val="0"/>
          <c:min val="-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Angle</a:t>
                </a:r>
                <a:r>
                  <a:rPr lang="en-US" sz="16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to Point, 𝜃</a:t>
                </a:r>
                <a:endParaRPr lang="en-US" sz="16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856848"/>
        <c:crossesAt val="-3.25"/>
        <c:crossBetween val="midCat"/>
        <c:majorUnit val="10"/>
        <c:minorUnit val="5"/>
      </c:valAx>
      <c:valAx>
        <c:axId val="482856848"/>
        <c:scaling>
          <c:orientation val="minMax"/>
          <c:max val="1.25"/>
          <c:min val="-3.25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1" u="none" strike="noStrike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600" b="0" i="1" u="none" strike="noStrike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</a:t>
                </a:r>
                <a:r>
                  <a:rPr lang="en-US" sz="1600" b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030992"/>
        <c:crossesAt val="-180"/>
        <c:crossBetween val="midCat"/>
        <c:majorUnit val="0.25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21</xdr:col>
      <xdr:colOff>620289</xdr:colOff>
      <xdr:row>32</xdr:row>
      <xdr:rowOff>170440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E751C-C3BB-404D-832B-E2C5A8E44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rci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97B4-E622-C445-B460-639CA52E6F57}">
  <dimension ref="A1:N302"/>
  <sheetViews>
    <sheetView tabSelected="1" topLeftCell="G1" workbookViewId="0">
      <selection activeCell="K3" sqref="K3:K183"/>
    </sheetView>
  </sheetViews>
  <sheetFormatPr baseColWidth="10" defaultRowHeight="16" x14ac:dyDescent="0.2"/>
  <sheetData>
    <row r="1" spans="1:14" x14ac:dyDescent="0.2">
      <c r="A1" s="1"/>
      <c r="B1" s="2" t="s">
        <v>0</v>
      </c>
      <c r="C1" s="1"/>
      <c r="D1" s="1"/>
      <c r="E1" s="2" t="s">
        <v>0</v>
      </c>
      <c r="F1" s="1"/>
      <c r="G1" s="1"/>
      <c r="H1" s="2" t="s">
        <v>0</v>
      </c>
      <c r="I1" s="1"/>
      <c r="J1" s="1"/>
      <c r="K1" s="1"/>
      <c r="L1" s="1"/>
      <c r="M1" s="1"/>
      <c r="N1" s="1"/>
    </row>
    <row r="2" spans="1:14" x14ac:dyDescent="0.2">
      <c r="A2" s="2" t="s">
        <v>1</v>
      </c>
      <c r="B2" s="2" t="s">
        <v>2</v>
      </c>
      <c r="C2" s="1"/>
      <c r="D2" s="2" t="s">
        <v>1</v>
      </c>
      <c r="E2" s="2" t="s">
        <v>3</v>
      </c>
      <c r="F2" s="1"/>
      <c r="G2" s="2" t="s">
        <v>1</v>
      </c>
      <c r="H2" s="2" t="s">
        <v>4</v>
      </c>
      <c r="I2" s="1"/>
      <c r="J2" s="2" t="s">
        <v>6</v>
      </c>
      <c r="K2" s="1" t="s">
        <v>7</v>
      </c>
      <c r="M2" s="1" t="s">
        <v>5</v>
      </c>
      <c r="N2" s="1"/>
    </row>
    <row r="3" spans="1:14" x14ac:dyDescent="0.2">
      <c r="A3" s="1">
        <v>-176.50664</v>
      </c>
      <c r="B3" s="1">
        <v>0.99994000000000005</v>
      </c>
      <c r="C3" s="1"/>
      <c r="D3" s="1">
        <v>-175.03575000000001</v>
      </c>
      <c r="E3" s="1">
        <v>0.98673999999999995</v>
      </c>
      <c r="F3" s="1"/>
      <c r="G3" s="1">
        <v>-176.87436</v>
      </c>
      <c r="H3" s="1">
        <v>0.98677000000000004</v>
      </c>
      <c r="I3" s="1"/>
      <c r="J3" s="1">
        <v>-180</v>
      </c>
      <c r="K3" s="1">
        <f>1-(4*(SIN(J3*PI()/180)*SIN(J3*PI()/180)))</f>
        <v>1</v>
      </c>
      <c r="L3" s="1"/>
      <c r="M3" s="1"/>
      <c r="N3" s="1"/>
    </row>
    <row r="4" spans="1:14" x14ac:dyDescent="0.2">
      <c r="A4" s="1">
        <v>-165.01532</v>
      </c>
      <c r="B4" s="1">
        <v>0.75604000000000005</v>
      </c>
      <c r="C4" s="1"/>
      <c r="D4" s="1">
        <v>-169.97957</v>
      </c>
      <c r="E4" s="1">
        <v>0.86480000000000001</v>
      </c>
      <c r="F4" s="1"/>
      <c r="G4" s="1">
        <v>-167.31359</v>
      </c>
      <c r="H4" s="1">
        <v>0.77583999999999997</v>
      </c>
      <c r="I4" s="1"/>
      <c r="J4" s="1">
        <f>J3+1</f>
        <v>-179</v>
      </c>
      <c r="K4" s="1">
        <f t="shared" ref="K4:K67" si="0">1-(4*(SIN(J4*PI()/180)*SIN(J4*PI()/180)))</f>
        <v>0.99878165403819152</v>
      </c>
      <c r="L4" s="1"/>
      <c r="M4" s="1"/>
      <c r="N4" s="1"/>
    </row>
    <row r="5" spans="1:14" x14ac:dyDescent="0.2">
      <c r="A5" s="1">
        <v>-159.22370000000001</v>
      </c>
      <c r="B5" s="1">
        <v>0.53200000000000003</v>
      </c>
      <c r="C5" s="1"/>
      <c r="D5" s="1">
        <v>-164.64760000000001</v>
      </c>
      <c r="E5" s="1">
        <v>0.72309999999999997</v>
      </c>
      <c r="F5" s="1"/>
      <c r="G5" s="1">
        <v>-159.13176999999999</v>
      </c>
      <c r="H5" s="1">
        <v>0.50895000000000001</v>
      </c>
      <c r="I5" s="1"/>
      <c r="J5" s="1">
        <f t="shared" ref="J5:J68" si="1">J4+1</f>
        <v>-178</v>
      </c>
      <c r="K5" s="1">
        <f t="shared" si="0"/>
        <v>0.99512810051964862</v>
      </c>
      <c r="L5" s="1"/>
      <c r="M5" s="1"/>
      <c r="N5" s="1"/>
    </row>
    <row r="6" spans="1:14" x14ac:dyDescent="0.2">
      <c r="A6" s="1">
        <v>-151.40960000000001</v>
      </c>
      <c r="B6" s="1">
        <v>0.20255000000000001</v>
      </c>
      <c r="C6" s="1"/>
      <c r="D6" s="1">
        <v>-158.12053</v>
      </c>
      <c r="E6" s="1">
        <v>0.50563999999999998</v>
      </c>
      <c r="F6" s="1"/>
      <c r="G6" s="1">
        <v>-153.34013999999999</v>
      </c>
      <c r="H6" s="1">
        <v>0.17624000000000001</v>
      </c>
      <c r="I6" s="1"/>
      <c r="J6" s="1">
        <f t="shared" si="1"/>
        <v>-177</v>
      </c>
      <c r="K6" s="1">
        <f t="shared" si="0"/>
        <v>0.98904379073654669</v>
      </c>
      <c r="L6" s="1"/>
      <c r="M6" s="1"/>
      <c r="N6" s="1"/>
    </row>
    <row r="7" spans="1:14" x14ac:dyDescent="0.2">
      <c r="A7" s="1">
        <v>-145.61797999999999</v>
      </c>
      <c r="B7" s="1">
        <v>-3.1359999999999999E-2</v>
      </c>
      <c r="C7" s="1"/>
      <c r="D7" s="1">
        <v>-152.23697999999999</v>
      </c>
      <c r="E7" s="1">
        <v>0.28160000000000002</v>
      </c>
      <c r="F7" s="1"/>
      <c r="G7" s="1">
        <v>-147.45659000000001</v>
      </c>
      <c r="H7" s="1">
        <v>-7.4139999999999998E-2</v>
      </c>
      <c r="I7" s="1"/>
      <c r="J7" s="1">
        <f t="shared" si="1"/>
        <v>-176</v>
      </c>
      <c r="K7" s="1">
        <f t="shared" si="0"/>
        <v>0.9805361374831405</v>
      </c>
      <c r="L7" s="1"/>
      <c r="M7" s="1"/>
      <c r="N7" s="1"/>
    </row>
    <row r="8" spans="1:14" x14ac:dyDescent="0.2">
      <c r="A8" s="1">
        <v>-138.99897999999999</v>
      </c>
      <c r="B8" s="1">
        <v>-0.21919</v>
      </c>
      <c r="C8" s="1"/>
      <c r="D8" s="1">
        <v>-146.44534999999999</v>
      </c>
      <c r="E8" s="1">
        <v>4.4389999999999999E-2</v>
      </c>
      <c r="F8" s="1"/>
      <c r="G8" s="1">
        <v>-142.12461999999999</v>
      </c>
      <c r="H8" s="1">
        <v>-0.40683999999999998</v>
      </c>
      <c r="I8" s="1"/>
      <c r="J8" s="1">
        <f t="shared" si="1"/>
        <v>-175</v>
      </c>
      <c r="K8" s="1">
        <f t="shared" si="0"/>
        <v>0.96961550602441582</v>
      </c>
      <c r="L8" s="1"/>
      <c r="M8" s="1"/>
      <c r="N8" s="1"/>
    </row>
    <row r="9" spans="1:14" x14ac:dyDescent="0.2">
      <c r="A9" s="1">
        <v>-134.31052</v>
      </c>
      <c r="B9" s="1">
        <v>-0.44650000000000001</v>
      </c>
      <c r="C9" s="1"/>
      <c r="D9" s="1">
        <v>-142.58427</v>
      </c>
      <c r="E9" s="1">
        <v>-0.16972999999999999</v>
      </c>
      <c r="F9" s="1"/>
      <c r="G9" s="1">
        <v>-135.96527</v>
      </c>
      <c r="H9" s="1">
        <v>-0.77907000000000004</v>
      </c>
      <c r="I9" s="1"/>
      <c r="J9" s="1">
        <f t="shared" si="1"/>
        <v>-174</v>
      </c>
      <c r="K9" s="1">
        <f t="shared" si="0"/>
        <v>0.95629520146761104</v>
      </c>
      <c r="L9" s="1"/>
      <c r="M9" s="1"/>
      <c r="N9" s="1"/>
    </row>
    <row r="10" spans="1:14" x14ac:dyDescent="0.2">
      <c r="A10" s="1">
        <v>-128.05923999999999</v>
      </c>
      <c r="B10" s="1">
        <v>-0.68371999999999999</v>
      </c>
      <c r="C10" s="1"/>
      <c r="D10" s="1">
        <v>-137.89581000000001</v>
      </c>
      <c r="E10" s="1">
        <v>-0.39374999999999999</v>
      </c>
      <c r="F10" s="1"/>
      <c r="G10" s="1">
        <v>-129.80591999999999</v>
      </c>
      <c r="H10" s="1">
        <v>-1.1216600000000001</v>
      </c>
      <c r="I10" s="1"/>
      <c r="J10" s="1">
        <f t="shared" si="1"/>
        <v>-173</v>
      </c>
      <c r="K10" s="1">
        <f t="shared" si="0"/>
        <v>0.94059145255199283</v>
      </c>
      <c r="L10" s="1"/>
      <c r="M10" s="1"/>
      <c r="N10" s="1"/>
    </row>
    <row r="11" spans="1:14" x14ac:dyDescent="0.2">
      <c r="A11" s="1">
        <v>-118.49847</v>
      </c>
      <c r="B11" s="1">
        <v>-0.96050999999999997</v>
      </c>
      <c r="C11" s="1"/>
      <c r="D11" s="1">
        <v>-133.20734999999999</v>
      </c>
      <c r="E11" s="1">
        <v>-0.53873000000000004</v>
      </c>
      <c r="F11" s="1"/>
      <c r="G11" s="1">
        <v>-123.18693</v>
      </c>
      <c r="H11" s="1">
        <v>-1.5465899999999999</v>
      </c>
      <c r="I11" s="1"/>
      <c r="J11" s="1">
        <f t="shared" si="1"/>
        <v>-172</v>
      </c>
      <c r="K11" s="1">
        <f t="shared" si="0"/>
        <v>0.92252339187663734</v>
      </c>
      <c r="L11" s="1"/>
      <c r="M11" s="1"/>
      <c r="N11" s="1"/>
    </row>
    <row r="12" spans="1:14" x14ac:dyDescent="0.2">
      <c r="A12" s="1">
        <v>-113.90194</v>
      </c>
      <c r="B12" s="1">
        <v>-1.05609</v>
      </c>
      <c r="C12" s="1"/>
      <c r="D12" s="1">
        <v>-125.85290999999999</v>
      </c>
      <c r="E12" s="1">
        <v>-0.76607999999999998</v>
      </c>
      <c r="F12" s="1"/>
      <c r="G12" s="1">
        <v>-117.39530000000001</v>
      </c>
      <c r="H12" s="1">
        <v>-1.8496600000000001</v>
      </c>
      <c r="I12" s="1"/>
      <c r="J12" s="1">
        <f t="shared" si="1"/>
        <v>-171</v>
      </c>
      <c r="K12" s="1">
        <f t="shared" si="0"/>
        <v>0.90211303259030706</v>
      </c>
      <c r="L12" s="1"/>
      <c r="M12" s="1"/>
      <c r="N12" s="1"/>
    </row>
    <row r="13" spans="1:14" x14ac:dyDescent="0.2">
      <c r="A13" s="1">
        <v>-108.47803999999999</v>
      </c>
      <c r="B13" s="1">
        <v>-1.1879200000000001</v>
      </c>
      <c r="C13" s="1"/>
      <c r="D13" s="1">
        <v>-120.52094</v>
      </c>
      <c r="E13" s="1">
        <v>-0.93742000000000003</v>
      </c>
      <c r="F13" s="1"/>
      <c r="G13" s="1">
        <v>-111.51175000000001</v>
      </c>
      <c r="H13" s="1">
        <v>-2.1823700000000001</v>
      </c>
      <c r="I13" s="1"/>
      <c r="J13" s="1">
        <f t="shared" si="1"/>
        <v>-170</v>
      </c>
      <c r="K13" s="1">
        <f t="shared" si="0"/>
        <v>0.87938524157181686</v>
      </c>
      <c r="L13" s="1"/>
      <c r="M13" s="1"/>
      <c r="N13" s="1"/>
    </row>
    <row r="14" spans="1:14" x14ac:dyDescent="0.2">
      <c r="A14" s="1">
        <v>-103.14606999999999</v>
      </c>
      <c r="B14" s="1">
        <v>-1.06288</v>
      </c>
      <c r="C14" s="1"/>
      <c r="D14" s="1">
        <v>-111.87947</v>
      </c>
      <c r="E14" s="1">
        <v>-1.2109099999999999</v>
      </c>
      <c r="F14" s="1"/>
      <c r="G14" s="1">
        <v>-103.78958</v>
      </c>
      <c r="H14" s="1">
        <v>-2.4723099999999998</v>
      </c>
      <c r="I14" s="1"/>
      <c r="J14" s="1">
        <f t="shared" si="1"/>
        <v>-169</v>
      </c>
      <c r="K14" s="1">
        <f t="shared" si="0"/>
        <v>0.85436770913357463</v>
      </c>
      <c r="L14" s="1"/>
      <c r="M14" s="1"/>
      <c r="N14" s="1"/>
    </row>
    <row r="15" spans="1:14" x14ac:dyDescent="0.2">
      <c r="A15" s="1">
        <v>-100.66394</v>
      </c>
      <c r="B15" s="1">
        <v>-0.99705999999999995</v>
      </c>
      <c r="C15" s="1"/>
      <c r="D15" s="1">
        <v>-108.38611</v>
      </c>
      <c r="E15" s="1">
        <v>-1.05949</v>
      </c>
      <c r="F15" s="1"/>
      <c r="G15" s="1">
        <v>-97.997960000000006</v>
      </c>
      <c r="H15" s="1">
        <v>-2.6173099999999998</v>
      </c>
      <c r="I15" s="1"/>
      <c r="J15" s="1">
        <f t="shared" si="1"/>
        <v>-168</v>
      </c>
      <c r="K15" s="1">
        <f t="shared" si="0"/>
        <v>0.82709091528520184</v>
      </c>
      <c r="L15" s="1"/>
      <c r="M15" s="1"/>
      <c r="N15" s="1"/>
    </row>
    <row r="16" spans="1:14" x14ac:dyDescent="0.2">
      <c r="A16" s="1">
        <v>-93.769149999999996</v>
      </c>
      <c r="B16" s="1">
        <v>-0.81606999999999996</v>
      </c>
      <c r="C16" s="1"/>
      <c r="D16" s="1">
        <v>-104.89275000000001</v>
      </c>
      <c r="E16" s="1">
        <v>-0.99039999999999995</v>
      </c>
      <c r="F16" s="1"/>
      <c r="G16" s="1">
        <v>-93.769149999999996</v>
      </c>
      <c r="H16" s="1">
        <v>-2.6173799999999998</v>
      </c>
      <c r="I16" s="1"/>
      <c r="J16" s="1">
        <f t="shared" si="1"/>
        <v>-167</v>
      </c>
      <c r="K16" s="1">
        <f t="shared" si="0"/>
        <v>0.79758809259833441</v>
      </c>
      <c r="L16" s="1"/>
      <c r="M16" s="1"/>
      <c r="N16" s="1"/>
    </row>
    <row r="17" spans="1:14" x14ac:dyDescent="0.2">
      <c r="A17" s="1">
        <v>-78.600610000000003</v>
      </c>
      <c r="B17" s="1">
        <v>-0.84269000000000005</v>
      </c>
      <c r="C17" s="1"/>
      <c r="D17" s="1">
        <v>-102.96221</v>
      </c>
      <c r="E17" s="1">
        <v>-0.90481</v>
      </c>
      <c r="F17" s="1"/>
      <c r="G17" s="1">
        <v>-88.345249999999993</v>
      </c>
      <c r="H17" s="1">
        <v>-2.5384500000000001</v>
      </c>
      <c r="I17" s="1"/>
      <c r="J17" s="1">
        <f t="shared" si="1"/>
        <v>-166</v>
      </c>
      <c r="K17" s="1">
        <f t="shared" si="0"/>
        <v>0.76589518571785387</v>
      </c>
      <c r="L17" s="1"/>
      <c r="M17" s="1"/>
      <c r="N17" s="1"/>
    </row>
    <row r="18" spans="1:14" x14ac:dyDescent="0.2">
      <c r="A18" s="1">
        <v>-71.246170000000006</v>
      </c>
      <c r="B18" s="1">
        <v>-0.89551000000000003</v>
      </c>
      <c r="C18" s="1"/>
      <c r="D18" s="1">
        <v>-98.641469999999998</v>
      </c>
      <c r="E18" s="1">
        <v>-0.64473999999999998</v>
      </c>
      <c r="F18" s="1"/>
      <c r="G18" s="1">
        <v>-84.851889999999997</v>
      </c>
      <c r="H18" s="1">
        <v>-2.3804500000000002</v>
      </c>
      <c r="I18" s="1"/>
      <c r="J18" s="1">
        <f t="shared" si="1"/>
        <v>-165</v>
      </c>
      <c r="K18" s="1">
        <f t="shared" si="0"/>
        <v>0.73205080756887675</v>
      </c>
      <c r="L18" s="1"/>
      <c r="M18" s="1"/>
      <c r="N18" s="1"/>
    </row>
    <row r="19" spans="1:14" x14ac:dyDescent="0.2">
      <c r="A19" s="1">
        <v>-60.766089999999998</v>
      </c>
      <c r="B19" s="1">
        <v>-1.00108</v>
      </c>
      <c r="C19" s="1"/>
      <c r="D19" s="1">
        <v>-91.378960000000006</v>
      </c>
      <c r="E19" s="1">
        <v>-0.70743999999999996</v>
      </c>
      <c r="F19" s="1"/>
      <c r="G19" s="1">
        <v>-84.11645</v>
      </c>
      <c r="H19" s="1">
        <v>-2.1664099999999999</v>
      </c>
      <c r="I19" s="1"/>
      <c r="J19" s="1">
        <f t="shared" si="1"/>
        <v>-164</v>
      </c>
      <c r="K19" s="1">
        <f t="shared" si="0"/>
        <v>0.69609619231285091</v>
      </c>
      <c r="L19" s="1"/>
      <c r="M19" s="1"/>
      <c r="N19" s="1"/>
    </row>
    <row r="20" spans="1:14" x14ac:dyDescent="0.2">
      <c r="A20" s="1">
        <v>-50.377940000000002</v>
      </c>
      <c r="B20" s="1">
        <v>-1.03091</v>
      </c>
      <c r="C20" s="1"/>
      <c r="D20" s="1">
        <v>-82.461699999999993</v>
      </c>
      <c r="E20" s="1">
        <v>-0.93152999999999997</v>
      </c>
      <c r="F20" s="1"/>
      <c r="G20" s="1">
        <v>-78.232889999999998</v>
      </c>
      <c r="H20" s="1">
        <v>-2.0874799999999998</v>
      </c>
      <c r="I20" s="1"/>
      <c r="J20" s="1">
        <f t="shared" si="1"/>
        <v>-163</v>
      </c>
      <c r="K20" s="1">
        <f t="shared" si="0"/>
        <v>0.65807514511008258</v>
      </c>
      <c r="L20" s="1"/>
      <c r="M20" s="1"/>
      <c r="N20" s="1"/>
    </row>
    <row r="21" spans="1:14" x14ac:dyDescent="0.2">
      <c r="A21" s="1">
        <v>-41.828400000000002</v>
      </c>
      <c r="B21" s="1">
        <v>-1.04095</v>
      </c>
      <c r="C21" s="1"/>
      <c r="D21" s="1">
        <v>-72.073539999999994</v>
      </c>
      <c r="E21" s="1">
        <v>-1.0107600000000001</v>
      </c>
      <c r="F21" s="1"/>
      <c r="G21" s="1">
        <v>-74.739530000000002</v>
      </c>
      <c r="H21" s="1">
        <v>-1.93936</v>
      </c>
      <c r="I21" s="1"/>
      <c r="J21" s="1">
        <f t="shared" si="1"/>
        <v>-162</v>
      </c>
      <c r="K21" s="1">
        <f t="shared" si="0"/>
        <v>0.61803398874989468</v>
      </c>
      <c r="L21" s="1"/>
      <c r="M21" s="1"/>
      <c r="N21" s="1"/>
    </row>
    <row r="22" spans="1:14" x14ac:dyDescent="0.2">
      <c r="A22" s="1">
        <v>-36.404490000000003</v>
      </c>
      <c r="B22" s="1">
        <v>-1.1167899999999999</v>
      </c>
      <c r="C22" s="1"/>
      <c r="D22" s="1">
        <v>-56.169559999999997</v>
      </c>
      <c r="E22" s="1">
        <v>-1.0900799999999999</v>
      </c>
      <c r="F22" s="1"/>
      <c r="G22" s="1">
        <v>-68.947909999999993</v>
      </c>
      <c r="H22" s="1">
        <v>-1.3994</v>
      </c>
      <c r="I22" s="1"/>
      <c r="J22" s="1">
        <f t="shared" si="1"/>
        <v>-161</v>
      </c>
      <c r="K22" s="1">
        <f t="shared" si="0"/>
        <v>0.57602150721344292</v>
      </c>
      <c r="L22" s="1"/>
      <c r="M22" s="1"/>
      <c r="N22" s="1"/>
    </row>
    <row r="23" spans="1:14" x14ac:dyDescent="0.2">
      <c r="A23" s="1">
        <v>-26.75179</v>
      </c>
      <c r="B23" s="1">
        <v>-1.16307</v>
      </c>
      <c r="C23" s="1"/>
      <c r="D23" s="1">
        <v>-45.965269999999997</v>
      </c>
      <c r="E23" s="1">
        <v>-1.1232</v>
      </c>
      <c r="F23" s="1"/>
      <c r="G23" s="1">
        <v>-67.017359999999996</v>
      </c>
      <c r="H23" s="1">
        <v>-1.08</v>
      </c>
      <c r="I23" s="1"/>
      <c r="J23" s="1">
        <f t="shared" si="1"/>
        <v>-160</v>
      </c>
      <c r="K23" s="1">
        <f t="shared" si="0"/>
        <v>0.53208888623795569</v>
      </c>
      <c r="L23" s="1"/>
      <c r="M23" s="1"/>
      <c r="N23" s="1"/>
    </row>
    <row r="24" spans="1:14" x14ac:dyDescent="0.2">
      <c r="A24" s="1">
        <v>-22.798770000000001</v>
      </c>
      <c r="B24" s="1">
        <v>-1.1631400000000001</v>
      </c>
      <c r="C24" s="1"/>
      <c r="D24" s="1">
        <v>-33.278860000000002</v>
      </c>
      <c r="E24" s="1">
        <v>-1.1827099999999999</v>
      </c>
      <c r="F24" s="1"/>
      <c r="G24" s="1">
        <v>-66.28192</v>
      </c>
      <c r="H24" s="1">
        <v>-0.85609000000000002</v>
      </c>
      <c r="I24" s="1"/>
      <c r="J24" s="1">
        <f t="shared" si="1"/>
        <v>-159</v>
      </c>
      <c r="K24" s="1">
        <f t="shared" si="0"/>
        <v>0.4862896509547886</v>
      </c>
      <c r="L24" s="1"/>
      <c r="M24" s="1"/>
      <c r="N24" s="1"/>
    </row>
    <row r="25" spans="1:14" x14ac:dyDescent="0.2">
      <c r="A25" s="1">
        <v>-15.076610000000001</v>
      </c>
      <c r="B25" s="1">
        <v>-1.1632800000000001</v>
      </c>
      <c r="C25" s="1"/>
      <c r="D25" s="1">
        <v>-20.960159999999998</v>
      </c>
      <c r="E25" s="1">
        <v>-1.1236600000000001</v>
      </c>
      <c r="F25" s="1"/>
      <c r="G25" s="1">
        <v>-63.524000000000001</v>
      </c>
      <c r="H25" s="1">
        <v>-0.62890999999999997</v>
      </c>
      <c r="I25" s="1"/>
      <c r="J25" s="1">
        <f t="shared" si="1"/>
        <v>-158</v>
      </c>
      <c r="K25" s="1">
        <f t="shared" si="0"/>
        <v>0.43867960067730172</v>
      </c>
      <c r="L25" s="1"/>
      <c r="M25" s="1"/>
      <c r="N25" s="1"/>
    </row>
    <row r="26" spans="1:14" x14ac:dyDescent="0.2">
      <c r="A26" s="1">
        <v>-10.112360000000001</v>
      </c>
      <c r="B26" s="1">
        <v>-1.1765399999999999</v>
      </c>
      <c r="C26" s="1"/>
      <c r="D26" s="1">
        <v>-13.238</v>
      </c>
      <c r="E26" s="1">
        <v>-1.13697</v>
      </c>
      <c r="F26" s="1"/>
      <c r="G26" s="1">
        <v>-59.295200000000001</v>
      </c>
      <c r="H26" s="1">
        <v>-0.36554999999999999</v>
      </c>
      <c r="I26" s="1"/>
      <c r="J26" s="1">
        <f t="shared" si="1"/>
        <v>-157</v>
      </c>
      <c r="K26" s="1">
        <f t="shared" si="0"/>
        <v>0.38931674091799329</v>
      </c>
      <c r="L26" s="1"/>
      <c r="M26" s="1"/>
      <c r="N26" s="1"/>
    </row>
    <row r="27" spans="1:14" x14ac:dyDescent="0.2">
      <c r="A27" s="1">
        <v>-2.29826</v>
      </c>
      <c r="B27" s="1">
        <v>-1.1668099999999999</v>
      </c>
      <c r="C27" s="1"/>
      <c r="D27" s="1">
        <v>-5.79162</v>
      </c>
      <c r="E27" s="1">
        <v>-1.1667400000000001</v>
      </c>
      <c r="F27" s="1"/>
      <c r="G27" s="1">
        <v>-53.135849999999998</v>
      </c>
      <c r="H27" s="1">
        <v>-0.21747</v>
      </c>
      <c r="I27" s="1"/>
      <c r="J27" s="1">
        <f t="shared" si="1"/>
        <v>-156</v>
      </c>
      <c r="K27" s="1">
        <f t="shared" si="0"/>
        <v>0.3382612127177157</v>
      </c>
      <c r="L27" s="1"/>
      <c r="M27" s="1"/>
      <c r="N27" s="1"/>
    </row>
    <row r="28" spans="1:14" x14ac:dyDescent="0.2">
      <c r="A28" s="1"/>
      <c r="B28" s="1"/>
      <c r="C28" s="1"/>
      <c r="D28" s="1"/>
      <c r="E28" s="1"/>
      <c r="F28" s="1"/>
      <c r="G28" s="1">
        <v>-45.689480000000003</v>
      </c>
      <c r="H28" s="1">
        <v>-0.16821</v>
      </c>
      <c r="I28" s="1"/>
      <c r="J28" s="1">
        <f t="shared" si="1"/>
        <v>-155</v>
      </c>
      <c r="K28" s="1">
        <f t="shared" si="0"/>
        <v>0.28557521937307839</v>
      </c>
      <c r="L28" s="1"/>
      <c r="M28" s="1"/>
      <c r="N28" s="1"/>
    </row>
    <row r="29" spans="1:14" x14ac:dyDescent="0.2">
      <c r="A29" s="1"/>
      <c r="B29" s="1"/>
      <c r="C29" s="1"/>
      <c r="D29" s="1"/>
      <c r="E29" s="1"/>
      <c r="F29" s="1"/>
      <c r="G29" s="1">
        <v>-36.404490000000003</v>
      </c>
      <c r="H29" s="1">
        <v>-0.17826</v>
      </c>
      <c r="I29" s="1"/>
      <c r="J29" s="1">
        <f>J28+1</f>
        <v>-154</v>
      </c>
      <c r="K29" s="1">
        <f t="shared" si="0"/>
        <v>0.23132295065131703</v>
      </c>
      <c r="L29" s="1"/>
      <c r="M29" s="1"/>
      <c r="N29" s="1"/>
    </row>
    <row r="30" spans="1:14" x14ac:dyDescent="0.2">
      <c r="A30" s="1"/>
      <c r="B30" s="1"/>
      <c r="C30" s="1"/>
      <c r="D30" s="1"/>
      <c r="E30" s="1"/>
      <c r="F30" s="1"/>
      <c r="G30" s="1">
        <v>-27.119509999999998</v>
      </c>
      <c r="H30" s="1">
        <v>-0.20807</v>
      </c>
      <c r="I30" s="1"/>
      <c r="J30" s="1">
        <f t="shared" si="1"/>
        <v>-153</v>
      </c>
      <c r="K30" s="1">
        <f t="shared" si="0"/>
        <v>0.17557050458494605</v>
      </c>
      <c r="L30" s="1"/>
      <c r="M30" s="1"/>
      <c r="N30" s="1"/>
    </row>
    <row r="31" spans="1:14" x14ac:dyDescent="0.2">
      <c r="A31" s="1"/>
      <c r="B31" s="1"/>
      <c r="C31" s="1"/>
      <c r="D31" s="1"/>
      <c r="E31" s="1"/>
      <c r="F31" s="1"/>
      <c r="G31" s="1">
        <v>-22.063330000000001</v>
      </c>
      <c r="H31" s="1">
        <v>-0.16535</v>
      </c>
      <c r="I31" s="1"/>
      <c r="J31" s="1">
        <f t="shared" si="1"/>
        <v>-152</v>
      </c>
      <c r="K31" s="1">
        <f t="shared" si="0"/>
        <v>0.11838580694149248</v>
      </c>
      <c r="L31" s="1"/>
      <c r="M31" s="1"/>
      <c r="N31" s="1"/>
    </row>
    <row r="32" spans="1:14" x14ac:dyDescent="0.2">
      <c r="A32" s="1"/>
      <c r="B32" s="1"/>
      <c r="C32" s="1"/>
      <c r="D32" s="1"/>
      <c r="E32" s="1"/>
      <c r="F32" s="1"/>
      <c r="G32" s="1">
        <v>-13.14607</v>
      </c>
      <c r="H32" s="1">
        <v>-0.1721</v>
      </c>
      <c r="I32" s="1"/>
      <c r="J32" s="1">
        <f t="shared" si="1"/>
        <v>-151</v>
      </c>
      <c r="K32" s="1">
        <f t="shared" si="0"/>
        <v>5.9838528466409358E-2</v>
      </c>
      <c r="L32" s="1"/>
      <c r="M32" s="1"/>
      <c r="N32" s="1"/>
    </row>
    <row r="33" spans="1:14" x14ac:dyDescent="0.2">
      <c r="A33" s="1"/>
      <c r="B33" s="1"/>
      <c r="C33" s="1"/>
      <c r="D33" s="1"/>
      <c r="E33" s="1"/>
      <c r="F33" s="1"/>
      <c r="G33" s="1">
        <v>-5.0561800000000003</v>
      </c>
      <c r="H33" s="1">
        <v>-0.11626</v>
      </c>
      <c r="I33" s="1"/>
      <c r="J33" s="1">
        <f t="shared" si="1"/>
        <v>-150</v>
      </c>
      <c r="K33" s="1">
        <f t="shared" si="0"/>
        <v>0</v>
      </c>
      <c r="L33" s="1"/>
      <c r="M33" s="1"/>
      <c r="N33" s="1"/>
    </row>
    <row r="34" spans="1:14" x14ac:dyDescent="0.2">
      <c r="J34" s="1">
        <f t="shared" si="1"/>
        <v>-149</v>
      </c>
      <c r="K34" s="1">
        <f t="shared" si="0"/>
        <v>-6.1056874428219166E-2</v>
      </c>
    </row>
    <row r="35" spans="1:14" x14ac:dyDescent="0.2">
      <c r="J35" s="1">
        <f t="shared" si="1"/>
        <v>-148</v>
      </c>
      <c r="K35" s="1">
        <f t="shared" si="0"/>
        <v>-0.12325770642184541</v>
      </c>
    </row>
    <row r="36" spans="1:14" x14ac:dyDescent="0.2">
      <c r="J36" s="1">
        <f t="shared" si="1"/>
        <v>-147</v>
      </c>
      <c r="K36" s="1">
        <f t="shared" si="0"/>
        <v>-0.18652671384839903</v>
      </c>
    </row>
    <row r="37" spans="1:14" x14ac:dyDescent="0.2">
      <c r="J37" s="1">
        <f t="shared" si="1"/>
        <v>-146</v>
      </c>
      <c r="K37" s="1">
        <f t="shared" si="0"/>
        <v>-0.2507868131681763</v>
      </c>
    </row>
    <row r="38" spans="1:14" x14ac:dyDescent="0.2">
      <c r="J38" s="1">
        <f t="shared" si="1"/>
        <v>-145</v>
      </c>
      <c r="K38" s="1">
        <f t="shared" si="0"/>
        <v>-0.3159597133486638</v>
      </c>
    </row>
    <row r="39" spans="1:14" x14ac:dyDescent="0.2">
      <c r="J39" s="1">
        <f t="shared" si="1"/>
        <v>-144</v>
      </c>
      <c r="K39" s="1">
        <f t="shared" si="0"/>
        <v>-0.38196601125010576</v>
      </c>
    </row>
    <row r="40" spans="1:14" x14ac:dyDescent="0.2">
      <c r="J40" s="1">
        <f t="shared" si="1"/>
        <v>-143</v>
      </c>
      <c r="K40" s="1">
        <f t="shared" si="0"/>
        <v>-0.44872528836600112</v>
      </c>
    </row>
    <row r="41" spans="1:14" x14ac:dyDescent="0.2">
      <c r="J41" s="1">
        <f t="shared" si="1"/>
        <v>-142</v>
      </c>
      <c r="K41" s="1">
        <f t="shared" si="0"/>
        <v>-0.51615620880066526</v>
      </c>
    </row>
    <row r="42" spans="1:14" x14ac:dyDescent="0.2">
      <c r="J42" s="1">
        <f t="shared" si="1"/>
        <v>-141</v>
      </c>
      <c r="K42" s="1">
        <f t="shared" si="0"/>
        <v>-0.58417661836448276</v>
      </c>
    </row>
    <row r="43" spans="1:14" x14ac:dyDescent="0.2">
      <c r="J43" s="1">
        <f t="shared" si="1"/>
        <v>-140</v>
      </c>
      <c r="K43" s="1">
        <f t="shared" si="0"/>
        <v>-0.65270364466614006</v>
      </c>
    </row>
    <row r="44" spans="1:14" x14ac:dyDescent="0.2">
      <c r="J44" s="1">
        <f t="shared" si="1"/>
        <v>-139</v>
      </c>
      <c r="K44" s="1">
        <f t="shared" si="0"/>
        <v>-0.72165379807986896</v>
      </c>
    </row>
    <row r="45" spans="1:14" x14ac:dyDescent="0.2">
      <c r="J45" s="1">
        <f t="shared" si="1"/>
        <v>-138</v>
      </c>
      <c r="K45" s="1">
        <f t="shared" si="0"/>
        <v>-0.79094307346469428</v>
      </c>
    </row>
    <row r="46" spans="1:14" x14ac:dyDescent="0.2">
      <c r="J46" s="1">
        <f t="shared" si="1"/>
        <v>-137</v>
      </c>
      <c r="K46" s="1">
        <f t="shared" si="0"/>
        <v>-0.86048705251174984</v>
      </c>
    </row>
    <row r="47" spans="1:14" x14ac:dyDescent="0.2">
      <c r="J47" s="1">
        <f t="shared" si="1"/>
        <v>-136</v>
      </c>
      <c r="K47" s="1">
        <f t="shared" si="0"/>
        <v>-0.93020100659499727</v>
      </c>
    </row>
    <row r="48" spans="1:14" x14ac:dyDescent="0.2">
      <c r="J48" s="1">
        <f t="shared" si="1"/>
        <v>-135</v>
      </c>
      <c r="K48" s="1">
        <f t="shared" si="0"/>
        <v>-1.0000000000000004</v>
      </c>
    </row>
    <row r="49" spans="10:11" x14ac:dyDescent="0.2">
      <c r="J49" s="1">
        <f t="shared" si="1"/>
        <v>-134</v>
      </c>
      <c r="K49" s="1">
        <f t="shared" si="0"/>
        <v>-1.0697989934050036</v>
      </c>
    </row>
    <row r="50" spans="10:11" x14ac:dyDescent="0.2">
      <c r="J50" s="1">
        <f t="shared" si="1"/>
        <v>-133</v>
      </c>
      <c r="K50" s="1">
        <f t="shared" si="0"/>
        <v>-1.1395129474882513</v>
      </c>
    </row>
    <row r="51" spans="10:11" x14ac:dyDescent="0.2">
      <c r="J51" s="1">
        <f t="shared" si="1"/>
        <v>-132</v>
      </c>
      <c r="K51" s="1">
        <f t="shared" si="0"/>
        <v>-1.2090569265353071</v>
      </c>
    </row>
    <row r="52" spans="10:11" x14ac:dyDescent="0.2">
      <c r="J52" s="1">
        <f t="shared" si="1"/>
        <v>-131</v>
      </c>
      <c r="K52" s="1">
        <f t="shared" si="0"/>
        <v>-1.2783462019201304</v>
      </c>
    </row>
    <row r="53" spans="10:11" x14ac:dyDescent="0.2">
      <c r="J53" s="1">
        <f t="shared" si="1"/>
        <v>-130</v>
      </c>
      <c r="K53" s="1">
        <f t="shared" si="0"/>
        <v>-1.3472963553338606</v>
      </c>
    </row>
    <row r="54" spans="10:11" x14ac:dyDescent="0.2">
      <c r="J54" s="1">
        <f t="shared" si="1"/>
        <v>-129</v>
      </c>
      <c r="K54" s="1">
        <f t="shared" si="0"/>
        <v>-1.4158233816355197</v>
      </c>
    </row>
    <row r="55" spans="10:11" x14ac:dyDescent="0.2">
      <c r="J55" s="1">
        <f t="shared" si="1"/>
        <v>-128</v>
      </c>
      <c r="K55" s="1">
        <f t="shared" si="0"/>
        <v>-1.4838437911993356</v>
      </c>
    </row>
    <row r="56" spans="10:11" x14ac:dyDescent="0.2">
      <c r="J56" s="1">
        <f t="shared" si="1"/>
        <v>-127</v>
      </c>
      <c r="K56" s="1">
        <f t="shared" si="0"/>
        <v>-1.5512747116339978</v>
      </c>
    </row>
    <row r="57" spans="10:11" x14ac:dyDescent="0.2">
      <c r="J57" s="1">
        <f t="shared" si="1"/>
        <v>-126</v>
      </c>
      <c r="K57" s="1">
        <f t="shared" si="0"/>
        <v>-1.6180339887498949</v>
      </c>
    </row>
    <row r="58" spans="10:11" x14ac:dyDescent="0.2">
      <c r="J58" s="1">
        <f t="shared" si="1"/>
        <v>-125</v>
      </c>
      <c r="K58" s="1">
        <f t="shared" si="0"/>
        <v>-1.6840402866513391</v>
      </c>
    </row>
    <row r="59" spans="10:11" x14ac:dyDescent="0.2">
      <c r="J59" s="1">
        <f t="shared" si="1"/>
        <v>-124</v>
      </c>
      <c r="K59" s="1">
        <f t="shared" si="0"/>
        <v>-1.7492131868318244</v>
      </c>
    </row>
    <row r="60" spans="10:11" x14ac:dyDescent="0.2">
      <c r="J60" s="1">
        <f t="shared" si="1"/>
        <v>-123</v>
      </c>
      <c r="K60" s="1">
        <f t="shared" si="0"/>
        <v>-1.8134732861516007</v>
      </c>
    </row>
    <row r="61" spans="10:11" x14ac:dyDescent="0.2">
      <c r="J61" s="1">
        <f t="shared" si="1"/>
        <v>-122</v>
      </c>
      <c r="K61" s="1">
        <f t="shared" si="0"/>
        <v>-1.8767422935781557</v>
      </c>
    </row>
    <row r="62" spans="10:11" x14ac:dyDescent="0.2">
      <c r="J62" s="1">
        <f t="shared" si="1"/>
        <v>-121</v>
      </c>
      <c r="K62" s="1">
        <f t="shared" si="0"/>
        <v>-1.9389431255717819</v>
      </c>
    </row>
    <row r="63" spans="10:11" x14ac:dyDescent="0.2">
      <c r="J63" s="1">
        <f t="shared" si="1"/>
        <v>-120</v>
      </c>
      <c r="K63" s="1">
        <f t="shared" si="0"/>
        <v>-2.0000000000000004</v>
      </c>
    </row>
    <row r="64" spans="10:11" x14ac:dyDescent="0.2">
      <c r="J64" s="1">
        <f t="shared" si="1"/>
        <v>-119</v>
      </c>
      <c r="K64" s="1">
        <f t="shared" si="0"/>
        <v>-2.0598385284664102</v>
      </c>
    </row>
    <row r="65" spans="10:11" x14ac:dyDescent="0.2">
      <c r="J65" s="1">
        <f t="shared" si="1"/>
        <v>-118</v>
      </c>
      <c r="K65" s="1">
        <f t="shared" si="0"/>
        <v>-2.1183858069414949</v>
      </c>
    </row>
    <row r="66" spans="10:11" x14ac:dyDescent="0.2">
      <c r="J66" s="1">
        <f t="shared" si="1"/>
        <v>-117</v>
      </c>
      <c r="K66" s="1">
        <f t="shared" si="0"/>
        <v>-2.1755705045849467</v>
      </c>
    </row>
    <row r="67" spans="10:11" x14ac:dyDescent="0.2">
      <c r="J67" s="1">
        <f t="shared" si="1"/>
        <v>-116</v>
      </c>
      <c r="K67" s="1">
        <f t="shared" si="0"/>
        <v>-2.2313229506513159</v>
      </c>
    </row>
    <row r="68" spans="10:11" x14ac:dyDescent="0.2">
      <c r="J68" s="1">
        <f t="shared" si="1"/>
        <v>-115</v>
      </c>
      <c r="K68" s="1">
        <f t="shared" ref="K68:K131" si="2">1-(4*(SIN(J68*PI()/180)*SIN(J68*PI()/180)))</f>
        <v>-2.2855752193730794</v>
      </c>
    </row>
    <row r="69" spans="10:11" x14ac:dyDescent="0.2">
      <c r="J69" s="1">
        <f t="shared" ref="J69:J132" si="3">J68+1</f>
        <v>-114</v>
      </c>
      <c r="K69" s="1">
        <f t="shared" si="2"/>
        <v>-2.3382612127177169</v>
      </c>
    </row>
    <row r="70" spans="10:11" x14ac:dyDescent="0.2">
      <c r="J70" s="1">
        <f t="shared" si="3"/>
        <v>-113</v>
      </c>
      <c r="K70" s="1">
        <f t="shared" si="2"/>
        <v>-2.389316740917995</v>
      </c>
    </row>
    <row r="71" spans="10:11" x14ac:dyDescent="0.2">
      <c r="J71" s="1">
        <f t="shared" si="3"/>
        <v>-112</v>
      </c>
      <c r="K71" s="1">
        <f t="shared" si="2"/>
        <v>-2.4386796006773026</v>
      </c>
    </row>
    <row r="72" spans="10:11" x14ac:dyDescent="0.2">
      <c r="J72" s="1">
        <f t="shared" si="3"/>
        <v>-111</v>
      </c>
      <c r="K72" s="1">
        <f t="shared" si="2"/>
        <v>-2.4862896509547885</v>
      </c>
    </row>
    <row r="73" spans="10:11" x14ac:dyDescent="0.2">
      <c r="J73" s="1">
        <f t="shared" si="3"/>
        <v>-110</v>
      </c>
      <c r="K73" s="1">
        <f t="shared" si="2"/>
        <v>-2.5320888862379562</v>
      </c>
    </row>
    <row r="74" spans="10:11" x14ac:dyDescent="0.2">
      <c r="J74" s="1">
        <f t="shared" si="3"/>
        <v>-109</v>
      </c>
      <c r="K74" s="1">
        <f t="shared" si="2"/>
        <v>-2.576021507213444</v>
      </c>
    </row>
    <row r="75" spans="10:11" x14ac:dyDescent="0.2">
      <c r="J75" s="1">
        <f t="shared" si="3"/>
        <v>-108</v>
      </c>
      <c r="K75" s="1">
        <f t="shared" si="2"/>
        <v>-2.6180339887498953</v>
      </c>
    </row>
    <row r="76" spans="10:11" x14ac:dyDescent="0.2">
      <c r="J76" s="1">
        <f t="shared" si="3"/>
        <v>-107</v>
      </c>
      <c r="K76" s="1">
        <f t="shared" si="2"/>
        <v>-2.6580751451100837</v>
      </c>
    </row>
    <row r="77" spans="10:11" x14ac:dyDescent="0.2">
      <c r="J77" s="1">
        <f t="shared" si="3"/>
        <v>-106</v>
      </c>
      <c r="K77" s="1">
        <f t="shared" si="2"/>
        <v>-2.6960961923128521</v>
      </c>
    </row>
    <row r="78" spans="10:11" x14ac:dyDescent="0.2">
      <c r="J78" s="1">
        <f t="shared" si="3"/>
        <v>-105</v>
      </c>
      <c r="K78" s="1">
        <f t="shared" si="2"/>
        <v>-2.7320508075688776</v>
      </c>
    </row>
    <row r="79" spans="10:11" x14ac:dyDescent="0.2">
      <c r="J79" s="1">
        <f t="shared" si="3"/>
        <v>-104</v>
      </c>
      <c r="K79" s="1">
        <f t="shared" si="2"/>
        <v>-2.765895185717854</v>
      </c>
    </row>
    <row r="80" spans="10:11" x14ac:dyDescent="0.2">
      <c r="J80" s="1">
        <f t="shared" si="3"/>
        <v>-103</v>
      </c>
      <c r="K80" s="1">
        <f t="shared" si="2"/>
        <v>-2.7975880925983341</v>
      </c>
    </row>
    <row r="81" spans="10:11" x14ac:dyDescent="0.2">
      <c r="J81" s="1">
        <f t="shared" si="3"/>
        <v>-102</v>
      </c>
      <c r="K81" s="1">
        <f t="shared" si="2"/>
        <v>-2.8270909152852024</v>
      </c>
    </row>
    <row r="82" spans="10:11" x14ac:dyDescent="0.2">
      <c r="J82" s="1">
        <f t="shared" si="3"/>
        <v>-101</v>
      </c>
      <c r="K82" s="1">
        <f t="shared" si="2"/>
        <v>-2.8543677091335748</v>
      </c>
    </row>
    <row r="83" spans="10:11" x14ac:dyDescent="0.2">
      <c r="J83" s="1">
        <f t="shared" si="3"/>
        <v>-100</v>
      </c>
      <c r="K83" s="1">
        <f t="shared" si="2"/>
        <v>-2.8793852415718164</v>
      </c>
    </row>
    <row r="84" spans="10:11" x14ac:dyDescent="0.2">
      <c r="J84" s="1">
        <f t="shared" si="3"/>
        <v>-99</v>
      </c>
      <c r="K84" s="1">
        <f t="shared" si="2"/>
        <v>-2.9021130325903064</v>
      </c>
    </row>
    <row r="85" spans="10:11" x14ac:dyDescent="0.2">
      <c r="J85" s="1">
        <f t="shared" si="3"/>
        <v>-98</v>
      </c>
      <c r="K85" s="1">
        <f t="shared" si="2"/>
        <v>-2.9225233918766382</v>
      </c>
    </row>
    <row r="86" spans="10:11" x14ac:dyDescent="0.2">
      <c r="J86" s="1">
        <f t="shared" si="3"/>
        <v>-97</v>
      </c>
      <c r="K86" s="1">
        <f t="shared" si="2"/>
        <v>-2.9405914525519936</v>
      </c>
    </row>
    <row r="87" spans="10:11" x14ac:dyDescent="0.2">
      <c r="J87" s="1">
        <f t="shared" si="3"/>
        <v>-96</v>
      </c>
      <c r="K87" s="1">
        <f t="shared" si="2"/>
        <v>-2.9562952014676118</v>
      </c>
    </row>
    <row r="88" spans="10:11" x14ac:dyDescent="0.2">
      <c r="J88" s="1">
        <f t="shared" si="3"/>
        <v>-95</v>
      </c>
      <c r="K88" s="1">
        <f t="shared" si="2"/>
        <v>-2.9696155060244163</v>
      </c>
    </row>
    <row r="89" spans="10:11" x14ac:dyDescent="0.2">
      <c r="J89" s="1">
        <f t="shared" si="3"/>
        <v>-94</v>
      </c>
      <c r="K89" s="1">
        <f t="shared" si="2"/>
        <v>-2.9805361374831403</v>
      </c>
    </row>
    <row r="90" spans="10:11" x14ac:dyDescent="0.2">
      <c r="J90" s="1">
        <f t="shared" si="3"/>
        <v>-93</v>
      </c>
      <c r="K90" s="1">
        <f t="shared" si="2"/>
        <v>-2.9890437907365461</v>
      </c>
    </row>
    <row r="91" spans="10:11" x14ac:dyDescent="0.2">
      <c r="J91" s="1">
        <f t="shared" si="3"/>
        <v>-92</v>
      </c>
      <c r="K91" s="1">
        <f t="shared" si="2"/>
        <v>-2.9951281005196488</v>
      </c>
    </row>
    <row r="92" spans="10:11" x14ac:dyDescent="0.2">
      <c r="J92" s="1">
        <f t="shared" si="3"/>
        <v>-91</v>
      </c>
      <c r="K92" s="1">
        <f t="shared" si="2"/>
        <v>-2.9987816540381917</v>
      </c>
    </row>
    <row r="93" spans="10:11" x14ac:dyDescent="0.2">
      <c r="J93" s="1">
        <f t="shared" si="3"/>
        <v>-90</v>
      </c>
      <c r="K93" s="1">
        <f t="shared" si="2"/>
        <v>-3</v>
      </c>
    </row>
    <row r="94" spans="10:11" x14ac:dyDescent="0.2">
      <c r="J94" s="1">
        <f t="shared" si="3"/>
        <v>-89</v>
      </c>
      <c r="K94" s="1">
        <f t="shared" si="2"/>
        <v>-2.9987816540381917</v>
      </c>
    </row>
    <row r="95" spans="10:11" x14ac:dyDescent="0.2">
      <c r="J95" s="1">
        <f t="shared" si="3"/>
        <v>-88</v>
      </c>
      <c r="K95" s="1">
        <f t="shared" si="2"/>
        <v>-2.9951281005196488</v>
      </c>
    </row>
    <row r="96" spans="10:11" x14ac:dyDescent="0.2">
      <c r="J96" s="1">
        <f t="shared" si="3"/>
        <v>-87</v>
      </c>
      <c r="K96" s="1">
        <f t="shared" si="2"/>
        <v>-2.9890437907365461</v>
      </c>
    </row>
    <row r="97" spans="10:11" x14ac:dyDescent="0.2">
      <c r="J97" s="1">
        <f t="shared" si="3"/>
        <v>-86</v>
      </c>
      <c r="K97" s="1">
        <f t="shared" si="2"/>
        <v>-2.9805361374831403</v>
      </c>
    </row>
    <row r="98" spans="10:11" x14ac:dyDescent="0.2">
      <c r="J98" s="1">
        <f t="shared" si="3"/>
        <v>-85</v>
      </c>
      <c r="K98" s="1">
        <f t="shared" si="2"/>
        <v>-2.9696155060244163</v>
      </c>
    </row>
    <row r="99" spans="10:11" x14ac:dyDescent="0.2">
      <c r="J99" s="1">
        <f t="shared" si="3"/>
        <v>-84</v>
      </c>
      <c r="K99" s="1">
        <f t="shared" si="2"/>
        <v>-2.9562952014676109</v>
      </c>
    </row>
    <row r="100" spans="10:11" x14ac:dyDescent="0.2">
      <c r="J100" s="1">
        <f t="shared" si="3"/>
        <v>-83</v>
      </c>
      <c r="K100" s="1">
        <f t="shared" si="2"/>
        <v>-2.9405914525519927</v>
      </c>
    </row>
    <row r="101" spans="10:11" x14ac:dyDescent="0.2">
      <c r="J101" s="1">
        <f t="shared" si="3"/>
        <v>-82</v>
      </c>
      <c r="K101" s="1">
        <f t="shared" si="2"/>
        <v>-2.9225233918766373</v>
      </c>
    </row>
    <row r="102" spans="10:11" x14ac:dyDescent="0.2">
      <c r="J102" s="1">
        <f t="shared" si="3"/>
        <v>-81</v>
      </c>
      <c r="K102" s="1">
        <f t="shared" si="2"/>
        <v>-2.9021130325903073</v>
      </c>
    </row>
    <row r="103" spans="10:11" x14ac:dyDescent="0.2">
      <c r="J103" s="1">
        <f t="shared" si="3"/>
        <v>-80</v>
      </c>
      <c r="K103" s="1">
        <f t="shared" si="2"/>
        <v>-2.8793852415718164</v>
      </c>
    </row>
    <row r="104" spans="10:11" x14ac:dyDescent="0.2">
      <c r="J104" s="1">
        <f t="shared" si="3"/>
        <v>-79</v>
      </c>
      <c r="K104" s="1">
        <f t="shared" si="2"/>
        <v>-2.8543677091335748</v>
      </c>
    </row>
    <row r="105" spans="10:11" x14ac:dyDescent="0.2">
      <c r="J105" s="1">
        <f t="shared" si="3"/>
        <v>-78</v>
      </c>
      <c r="K105" s="1">
        <f t="shared" si="2"/>
        <v>-2.8270909152852015</v>
      </c>
    </row>
    <row r="106" spans="10:11" x14ac:dyDescent="0.2">
      <c r="J106" s="1">
        <f t="shared" si="3"/>
        <v>-77</v>
      </c>
      <c r="K106" s="1">
        <f t="shared" si="2"/>
        <v>-2.7975880925983341</v>
      </c>
    </row>
    <row r="107" spans="10:11" x14ac:dyDescent="0.2">
      <c r="J107" s="1">
        <f t="shared" si="3"/>
        <v>-76</v>
      </c>
      <c r="K107" s="1">
        <f t="shared" si="2"/>
        <v>-2.765895185717854</v>
      </c>
    </row>
    <row r="108" spans="10:11" x14ac:dyDescent="0.2">
      <c r="J108" s="1">
        <f t="shared" si="3"/>
        <v>-75</v>
      </c>
      <c r="K108" s="1">
        <f t="shared" si="2"/>
        <v>-2.7320508075688776</v>
      </c>
    </row>
    <row r="109" spans="10:11" x14ac:dyDescent="0.2">
      <c r="J109" s="1">
        <f t="shared" si="3"/>
        <v>-74</v>
      </c>
      <c r="K109" s="1">
        <f t="shared" si="2"/>
        <v>-2.6960961923128521</v>
      </c>
    </row>
    <row r="110" spans="10:11" x14ac:dyDescent="0.2">
      <c r="J110" s="1">
        <f t="shared" si="3"/>
        <v>-73</v>
      </c>
      <c r="K110" s="1">
        <f t="shared" si="2"/>
        <v>-2.6580751451100832</v>
      </c>
    </row>
    <row r="111" spans="10:11" x14ac:dyDescent="0.2">
      <c r="J111" s="1">
        <f t="shared" si="3"/>
        <v>-72</v>
      </c>
      <c r="K111" s="1">
        <f t="shared" si="2"/>
        <v>-2.6180339887498945</v>
      </c>
    </row>
    <row r="112" spans="10:11" x14ac:dyDescent="0.2">
      <c r="J112" s="1">
        <f t="shared" si="3"/>
        <v>-71</v>
      </c>
      <c r="K112" s="1">
        <f t="shared" si="2"/>
        <v>-2.5760215072134431</v>
      </c>
    </row>
    <row r="113" spans="10:11" x14ac:dyDescent="0.2">
      <c r="J113" s="1">
        <f t="shared" si="3"/>
        <v>-70</v>
      </c>
      <c r="K113" s="1">
        <f t="shared" si="2"/>
        <v>-2.5320888862379554</v>
      </c>
    </row>
    <row r="114" spans="10:11" x14ac:dyDescent="0.2">
      <c r="J114" s="1">
        <f t="shared" si="3"/>
        <v>-69</v>
      </c>
      <c r="K114" s="1">
        <f t="shared" si="2"/>
        <v>-2.4862896509547885</v>
      </c>
    </row>
    <row r="115" spans="10:11" x14ac:dyDescent="0.2">
      <c r="J115" s="1">
        <f t="shared" si="3"/>
        <v>-68</v>
      </c>
      <c r="K115" s="1">
        <f t="shared" si="2"/>
        <v>-2.4386796006773026</v>
      </c>
    </row>
    <row r="116" spans="10:11" x14ac:dyDescent="0.2">
      <c r="J116" s="1">
        <f t="shared" si="3"/>
        <v>-67</v>
      </c>
      <c r="K116" s="1">
        <f t="shared" si="2"/>
        <v>-2.3893167409179941</v>
      </c>
    </row>
    <row r="117" spans="10:11" x14ac:dyDescent="0.2">
      <c r="J117" s="1">
        <f t="shared" si="3"/>
        <v>-66</v>
      </c>
      <c r="K117" s="1">
        <f t="shared" si="2"/>
        <v>-2.338261212717716</v>
      </c>
    </row>
    <row r="118" spans="10:11" x14ac:dyDescent="0.2">
      <c r="J118" s="1">
        <f t="shared" si="3"/>
        <v>-65</v>
      </c>
      <c r="K118" s="1">
        <f t="shared" si="2"/>
        <v>-2.2855752193730785</v>
      </c>
    </row>
    <row r="119" spans="10:11" x14ac:dyDescent="0.2">
      <c r="J119" s="1">
        <f t="shared" si="3"/>
        <v>-64</v>
      </c>
      <c r="K119" s="1">
        <f t="shared" si="2"/>
        <v>-2.2313229506513159</v>
      </c>
    </row>
    <row r="120" spans="10:11" x14ac:dyDescent="0.2">
      <c r="J120" s="1">
        <f t="shared" si="3"/>
        <v>-63</v>
      </c>
      <c r="K120" s="1">
        <f t="shared" si="2"/>
        <v>-2.1755705045849467</v>
      </c>
    </row>
    <row r="121" spans="10:11" x14ac:dyDescent="0.2">
      <c r="J121" s="1">
        <f t="shared" si="3"/>
        <v>-62</v>
      </c>
      <c r="K121" s="1">
        <f t="shared" si="2"/>
        <v>-2.1183858069414931</v>
      </c>
    </row>
    <row r="122" spans="10:11" x14ac:dyDescent="0.2">
      <c r="J122" s="1">
        <f t="shared" si="3"/>
        <v>-61</v>
      </c>
      <c r="K122" s="1">
        <f t="shared" si="2"/>
        <v>-2.0598385284664094</v>
      </c>
    </row>
    <row r="123" spans="10:11" x14ac:dyDescent="0.2">
      <c r="J123" s="1">
        <f t="shared" si="3"/>
        <v>-60</v>
      </c>
      <c r="K123" s="1">
        <f t="shared" si="2"/>
        <v>-1.9999999999999996</v>
      </c>
    </row>
    <row r="124" spans="10:11" x14ac:dyDescent="0.2">
      <c r="J124" s="1">
        <f t="shared" si="3"/>
        <v>-59</v>
      </c>
      <c r="K124" s="1">
        <f t="shared" si="2"/>
        <v>-1.9389431255717811</v>
      </c>
    </row>
    <row r="125" spans="10:11" x14ac:dyDescent="0.2">
      <c r="J125" s="1">
        <f t="shared" si="3"/>
        <v>-58</v>
      </c>
      <c r="K125" s="1">
        <f t="shared" si="2"/>
        <v>-1.8767422935781548</v>
      </c>
    </row>
    <row r="126" spans="10:11" x14ac:dyDescent="0.2">
      <c r="J126" s="1">
        <f t="shared" si="3"/>
        <v>-57</v>
      </c>
      <c r="K126" s="1">
        <f t="shared" si="2"/>
        <v>-1.8134732861515999</v>
      </c>
    </row>
    <row r="127" spans="10:11" x14ac:dyDescent="0.2">
      <c r="J127" s="1">
        <f t="shared" si="3"/>
        <v>-56</v>
      </c>
      <c r="K127" s="1">
        <f t="shared" si="2"/>
        <v>-1.7492131868318244</v>
      </c>
    </row>
    <row r="128" spans="10:11" x14ac:dyDescent="0.2">
      <c r="J128" s="1">
        <f t="shared" si="3"/>
        <v>-55</v>
      </c>
      <c r="K128" s="1">
        <f t="shared" si="2"/>
        <v>-1.6840402866513373</v>
      </c>
    </row>
    <row r="129" spans="10:11" x14ac:dyDescent="0.2">
      <c r="J129" s="1">
        <f t="shared" si="3"/>
        <v>-54</v>
      </c>
      <c r="K129" s="1">
        <f t="shared" si="2"/>
        <v>-1.6180339887498949</v>
      </c>
    </row>
    <row r="130" spans="10:11" x14ac:dyDescent="0.2">
      <c r="J130" s="1">
        <f t="shared" si="3"/>
        <v>-53</v>
      </c>
      <c r="K130" s="1">
        <f t="shared" si="2"/>
        <v>-1.5512747116339982</v>
      </c>
    </row>
    <row r="131" spans="10:11" x14ac:dyDescent="0.2">
      <c r="J131" s="1">
        <f t="shared" si="3"/>
        <v>-52</v>
      </c>
      <c r="K131" s="1">
        <f t="shared" si="2"/>
        <v>-1.4838437911993356</v>
      </c>
    </row>
    <row r="132" spans="10:11" x14ac:dyDescent="0.2">
      <c r="J132" s="1">
        <f t="shared" si="3"/>
        <v>-51</v>
      </c>
      <c r="K132" s="1">
        <f t="shared" ref="K132:K183" si="4">1-(4*(SIN(J132*PI()/180)*SIN(J132*PI()/180)))</f>
        <v>-1.4158233816355179</v>
      </c>
    </row>
    <row r="133" spans="10:11" x14ac:dyDescent="0.2">
      <c r="J133" s="1">
        <f t="shared" ref="J133:J196" si="5">J132+1</f>
        <v>-50</v>
      </c>
      <c r="K133" s="1">
        <f t="shared" si="4"/>
        <v>-1.3472963553338606</v>
      </c>
    </row>
    <row r="134" spans="10:11" x14ac:dyDescent="0.2">
      <c r="J134" s="1">
        <f t="shared" si="5"/>
        <v>-49</v>
      </c>
      <c r="K134" s="1">
        <f t="shared" si="4"/>
        <v>-1.2783462019201308</v>
      </c>
    </row>
    <row r="135" spans="10:11" x14ac:dyDescent="0.2">
      <c r="J135" s="1">
        <f t="shared" si="5"/>
        <v>-48</v>
      </c>
      <c r="K135" s="1">
        <f t="shared" si="4"/>
        <v>-1.2090569265353071</v>
      </c>
    </row>
    <row r="136" spans="10:11" x14ac:dyDescent="0.2">
      <c r="J136" s="1">
        <f t="shared" si="5"/>
        <v>-47</v>
      </c>
      <c r="K136" s="1">
        <f t="shared" si="4"/>
        <v>-1.1395129474882504</v>
      </c>
    </row>
    <row r="137" spans="10:11" x14ac:dyDescent="0.2">
      <c r="J137" s="1">
        <f t="shared" si="5"/>
        <v>-46</v>
      </c>
      <c r="K137" s="1">
        <f t="shared" si="4"/>
        <v>-1.0697989934050014</v>
      </c>
    </row>
    <row r="138" spans="10:11" x14ac:dyDescent="0.2">
      <c r="J138" s="1">
        <f t="shared" si="5"/>
        <v>-45</v>
      </c>
      <c r="K138" s="1">
        <f t="shared" si="4"/>
        <v>-0.99999999999999956</v>
      </c>
    </row>
    <row r="139" spans="10:11" x14ac:dyDescent="0.2">
      <c r="J139" s="1">
        <f t="shared" si="5"/>
        <v>-44</v>
      </c>
      <c r="K139" s="1">
        <f t="shared" si="4"/>
        <v>-0.93020100659499794</v>
      </c>
    </row>
    <row r="140" spans="10:11" x14ac:dyDescent="0.2">
      <c r="J140" s="1">
        <f t="shared" si="5"/>
        <v>-43</v>
      </c>
      <c r="K140" s="1">
        <f t="shared" si="4"/>
        <v>-0.86048705251174917</v>
      </c>
    </row>
    <row r="141" spans="10:11" x14ac:dyDescent="0.2">
      <c r="J141" s="1">
        <f t="shared" si="5"/>
        <v>-42</v>
      </c>
      <c r="K141" s="1">
        <f t="shared" si="4"/>
        <v>-0.79094307346469317</v>
      </c>
    </row>
    <row r="142" spans="10:11" x14ac:dyDescent="0.2">
      <c r="J142" s="1">
        <f t="shared" si="5"/>
        <v>-41</v>
      </c>
      <c r="K142" s="1">
        <f t="shared" si="4"/>
        <v>-0.72165379807986851</v>
      </c>
    </row>
    <row r="143" spans="10:11" x14ac:dyDescent="0.2">
      <c r="J143" s="1">
        <f t="shared" si="5"/>
        <v>-40</v>
      </c>
      <c r="K143" s="1">
        <f t="shared" si="4"/>
        <v>-0.65270364466613895</v>
      </c>
    </row>
    <row r="144" spans="10:11" x14ac:dyDescent="0.2">
      <c r="J144" s="1">
        <f t="shared" si="5"/>
        <v>-39</v>
      </c>
      <c r="K144" s="1">
        <f t="shared" si="4"/>
        <v>-0.58417661836448098</v>
      </c>
    </row>
    <row r="145" spans="10:11" x14ac:dyDescent="0.2">
      <c r="J145" s="1">
        <f t="shared" si="5"/>
        <v>-38</v>
      </c>
      <c r="K145" s="1">
        <f t="shared" si="4"/>
        <v>-0.51615620880066415</v>
      </c>
    </row>
    <row r="146" spans="10:11" x14ac:dyDescent="0.2">
      <c r="J146" s="1">
        <f t="shared" si="5"/>
        <v>-37</v>
      </c>
      <c r="K146" s="1">
        <f t="shared" si="4"/>
        <v>-0.44872528836600156</v>
      </c>
    </row>
    <row r="147" spans="10:11" x14ac:dyDescent="0.2">
      <c r="J147" s="1">
        <f t="shared" si="5"/>
        <v>-36</v>
      </c>
      <c r="K147" s="1">
        <f t="shared" si="4"/>
        <v>-0.3819660112501051</v>
      </c>
    </row>
    <row r="148" spans="10:11" x14ac:dyDescent="0.2">
      <c r="J148" s="1">
        <f t="shared" si="5"/>
        <v>-35</v>
      </c>
      <c r="K148" s="1">
        <f t="shared" si="4"/>
        <v>-0.31595971334866224</v>
      </c>
    </row>
    <row r="149" spans="10:11" x14ac:dyDescent="0.2">
      <c r="J149" s="1">
        <f t="shared" si="5"/>
        <v>-34</v>
      </c>
      <c r="K149" s="1">
        <f t="shared" si="4"/>
        <v>-0.2507868131681763</v>
      </c>
    </row>
    <row r="150" spans="10:11" x14ac:dyDescent="0.2">
      <c r="J150" s="1">
        <f t="shared" si="5"/>
        <v>-33</v>
      </c>
      <c r="K150" s="1">
        <f t="shared" si="4"/>
        <v>-0.18652671384839969</v>
      </c>
    </row>
    <row r="151" spans="10:11" x14ac:dyDescent="0.2">
      <c r="J151" s="1">
        <f t="shared" si="5"/>
        <v>-32</v>
      </c>
      <c r="K151" s="1">
        <f t="shared" si="4"/>
        <v>-0.12325770642184497</v>
      </c>
    </row>
    <row r="152" spans="10:11" x14ac:dyDescent="0.2">
      <c r="J152" s="1">
        <f t="shared" si="5"/>
        <v>-31</v>
      </c>
      <c r="K152" s="1">
        <f t="shared" si="4"/>
        <v>-6.1056874428218277E-2</v>
      </c>
    </row>
    <row r="153" spans="10:11" x14ac:dyDescent="0.2">
      <c r="J153" s="1">
        <f t="shared" si="5"/>
        <v>-30</v>
      </c>
      <c r="K153" s="1">
        <f t="shared" si="4"/>
        <v>0</v>
      </c>
    </row>
    <row r="154" spans="10:11" x14ac:dyDescent="0.2">
      <c r="J154" s="1">
        <f t="shared" si="5"/>
        <v>-29</v>
      </c>
      <c r="K154" s="1">
        <f t="shared" si="4"/>
        <v>5.9838528466409802E-2</v>
      </c>
    </row>
    <row r="155" spans="10:11" x14ac:dyDescent="0.2">
      <c r="J155" s="1">
        <f t="shared" si="5"/>
        <v>-28</v>
      </c>
      <c r="K155" s="1">
        <f t="shared" si="4"/>
        <v>0.11838580694149359</v>
      </c>
    </row>
    <row r="156" spans="10:11" x14ac:dyDescent="0.2">
      <c r="J156" s="1">
        <f t="shared" si="5"/>
        <v>-27</v>
      </c>
      <c r="K156" s="1">
        <f t="shared" si="4"/>
        <v>0.17557050458494616</v>
      </c>
    </row>
    <row r="157" spans="10:11" x14ac:dyDescent="0.2">
      <c r="J157" s="1">
        <f t="shared" si="5"/>
        <v>-26</v>
      </c>
      <c r="K157" s="1">
        <f t="shared" si="4"/>
        <v>0.23132295065131636</v>
      </c>
    </row>
    <row r="158" spans="10:11" x14ac:dyDescent="0.2">
      <c r="J158" s="1">
        <f t="shared" si="5"/>
        <v>-25</v>
      </c>
      <c r="K158" s="1">
        <f t="shared" si="4"/>
        <v>0.28557521937307861</v>
      </c>
    </row>
    <row r="159" spans="10:11" x14ac:dyDescent="0.2">
      <c r="J159" s="1">
        <f t="shared" si="5"/>
        <v>-24</v>
      </c>
      <c r="K159" s="1">
        <f t="shared" si="4"/>
        <v>0.33826121271771659</v>
      </c>
    </row>
    <row r="160" spans="10:11" x14ac:dyDescent="0.2">
      <c r="J160" s="1">
        <f t="shared" si="5"/>
        <v>-23</v>
      </c>
      <c r="K160" s="1">
        <f t="shared" si="4"/>
        <v>0.38931674091799473</v>
      </c>
    </row>
    <row r="161" spans="10:11" x14ac:dyDescent="0.2">
      <c r="J161" s="1">
        <f t="shared" si="5"/>
        <v>-22</v>
      </c>
      <c r="K161" s="1">
        <f t="shared" si="4"/>
        <v>0.43867960067730238</v>
      </c>
    </row>
    <row r="162" spans="10:11" x14ac:dyDescent="0.2">
      <c r="J162" s="1">
        <f t="shared" si="5"/>
        <v>-21</v>
      </c>
      <c r="K162" s="1">
        <f t="shared" si="4"/>
        <v>0.48628965095478849</v>
      </c>
    </row>
    <row r="163" spans="10:11" x14ac:dyDescent="0.2">
      <c r="J163" s="1">
        <f t="shared" si="5"/>
        <v>-20</v>
      </c>
      <c r="K163" s="1">
        <f t="shared" si="4"/>
        <v>0.53208888623795614</v>
      </c>
    </row>
    <row r="164" spans="10:11" x14ac:dyDescent="0.2">
      <c r="J164" s="1">
        <f t="shared" si="5"/>
        <v>-19</v>
      </c>
      <c r="K164" s="1">
        <f t="shared" si="4"/>
        <v>0.57602150721344403</v>
      </c>
    </row>
    <row r="165" spans="10:11" x14ac:dyDescent="0.2">
      <c r="J165" s="1">
        <f t="shared" si="5"/>
        <v>-18</v>
      </c>
      <c r="K165" s="1">
        <f t="shared" si="4"/>
        <v>0.6180339887498949</v>
      </c>
    </row>
    <row r="166" spans="10:11" x14ac:dyDescent="0.2">
      <c r="J166" s="1">
        <f t="shared" si="5"/>
        <v>-17</v>
      </c>
      <c r="K166" s="1">
        <f t="shared" si="4"/>
        <v>0.65807514511008325</v>
      </c>
    </row>
    <row r="167" spans="10:11" x14ac:dyDescent="0.2">
      <c r="J167" s="1">
        <f t="shared" si="5"/>
        <v>-16</v>
      </c>
      <c r="K167" s="1">
        <f t="shared" si="4"/>
        <v>0.69609619231285191</v>
      </c>
    </row>
    <row r="168" spans="10:11" x14ac:dyDescent="0.2">
      <c r="J168" s="1">
        <f t="shared" si="5"/>
        <v>-15</v>
      </c>
      <c r="K168" s="1">
        <f t="shared" si="4"/>
        <v>0.73205080756887742</v>
      </c>
    </row>
    <row r="169" spans="10:11" x14ac:dyDescent="0.2">
      <c r="J169" s="1">
        <f t="shared" si="5"/>
        <v>-14</v>
      </c>
      <c r="K169" s="1">
        <f t="shared" si="4"/>
        <v>0.76589518571785387</v>
      </c>
    </row>
    <row r="170" spans="10:11" x14ac:dyDescent="0.2">
      <c r="J170" s="1">
        <f t="shared" si="5"/>
        <v>-13</v>
      </c>
      <c r="K170" s="1">
        <f t="shared" si="4"/>
        <v>0.79758809259833396</v>
      </c>
    </row>
    <row r="171" spans="10:11" x14ac:dyDescent="0.2">
      <c r="J171" s="1">
        <f t="shared" si="5"/>
        <v>-12</v>
      </c>
      <c r="K171" s="1">
        <f t="shared" si="4"/>
        <v>0.82709091528520184</v>
      </c>
    </row>
    <row r="172" spans="10:11" x14ac:dyDescent="0.2">
      <c r="J172" s="1">
        <f t="shared" si="5"/>
        <v>-11</v>
      </c>
      <c r="K172" s="1">
        <f t="shared" si="4"/>
        <v>0.85436770913357485</v>
      </c>
    </row>
    <row r="173" spans="10:11" x14ac:dyDescent="0.2">
      <c r="J173" s="1">
        <f t="shared" si="5"/>
        <v>-10</v>
      </c>
      <c r="K173" s="1">
        <f t="shared" si="4"/>
        <v>0.87938524157181674</v>
      </c>
    </row>
    <row r="174" spans="10:11" x14ac:dyDescent="0.2">
      <c r="J174" s="1">
        <f t="shared" si="5"/>
        <v>-9</v>
      </c>
      <c r="K174" s="1">
        <f t="shared" si="4"/>
        <v>0.90211303259030717</v>
      </c>
    </row>
    <row r="175" spans="10:11" x14ac:dyDescent="0.2">
      <c r="J175" s="1">
        <f t="shared" si="5"/>
        <v>-8</v>
      </c>
      <c r="K175" s="1">
        <f t="shared" si="4"/>
        <v>0.92252339187663779</v>
      </c>
    </row>
    <row r="176" spans="10:11" x14ac:dyDescent="0.2">
      <c r="J176" s="1">
        <f t="shared" si="5"/>
        <v>-7</v>
      </c>
      <c r="K176" s="1">
        <f t="shared" si="4"/>
        <v>0.94059145255199295</v>
      </c>
    </row>
    <row r="177" spans="10:11" x14ac:dyDescent="0.2">
      <c r="J177" s="1">
        <f t="shared" si="5"/>
        <v>-6</v>
      </c>
      <c r="K177" s="1">
        <f t="shared" si="4"/>
        <v>0.95629520146761127</v>
      </c>
    </row>
    <row r="178" spans="10:11" x14ac:dyDescent="0.2">
      <c r="J178" s="1">
        <f t="shared" si="5"/>
        <v>-5</v>
      </c>
      <c r="K178" s="1">
        <f t="shared" si="4"/>
        <v>0.96961550602441615</v>
      </c>
    </row>
    <row r="179" spans="10:11" x14ac:dyDescent="0.2">
      <c r="J179" s="1">
        <f t="shared" si="5"/>
        <v>-4</v>
      </c>
      <c r="K179" s="1">
        <f t="shared" si="4"/>
        <v>0.98053613748314061</v>
      </c>
    </row>
    <row r="180" spans="10:11" x14ac:dyDescent="0.2">
      <c r="J180" s="1">
        <f t="shared" si="5"/>
        <v>-3</v>
      </c>
      <c r="K180" s="1">
        <f t="shared" si="4"/>
        <v>0.98904379073654669</v>
      </c>
    </row>
    <row r="181" spans="10:11" x14ac:dyDescent="0.2">
      <c r="J181" s="1">
        <f t="shared" si="5"/>
        <v>-2</v>
      </c>
      <c r="K181" s="1">
        <f t="shared" si="4"/>
        <v>0.99512810051964851</v>
      </c>
    </row>
    <row r="182" spans="10:11" x14ac:dyDescent="0.2">
      <c r="J182" s="1">
        <f t="shared" si="5"/>
        <v>-1</v>
      </c>
      <c r="K182" s="1">
        <f t="shared" si="4"/>
        <v>0.99878165403819141</v>
      </c>
    </row>
    <row r="183" spans="10:11" x14ac:dyDescent="0.2">
      <c r="J183" s="1">
        <f t="shared" si="5"/>
        <v>0</v>
      </c>
      <c r="K183" s="1">
        <f t="shared" si="4"/>
        <v>1</v>
      </c>
    </row>
    <row r="184" spans="10:11" x14ac:dyDescent="0.2">
      <c r="J184" s="1"/>
    </row>
    <row r="185" spans="10:11" x14ac:dyDescent="0.2">
      <c r="J185" s="1"/>
    </row>
    <row r="186" spans="10:11" x14ac:dyDescent="0.2">
      <c r="J186" s="1"/>
    </row>
    <row r="187" spans="10:11" x14ac:dyDescent="0.2">
      <c r="J187" s="1"/>
    </row>
    <row r="188" spans="10:11" x14ac:dyDescent="0.2">
      <c r="J188" s="1"/>
    </row>
    <row r="189" spans="10:11" x14ac:dyDescent="0.2">
      <c r="J189" s="1"/>
    </row>
    <row r="190" spans="10:11" x14ac:dyDescent="0.2">
      <c r="J190" s="1"/>
    </row>
    <row r="191" spans="10:11" x14ac:dyDescent="0.2">
      <c r="J191" s="1"/>
    </row>
    <row r="192" spans="10:11" x14ac:dyDescent="0.2">
      <c r="J192" s="1"/>
    </row>
    <row r="193" spans="10:10" x14ac:dyDescent="0.2">
      <c r="J193" s="1"/>
    </row>
    <row r="194" spans="10:10" x14ac:dyDescent="0.2">
      <c r="J194" s="1"/>
    </row>
    <row r="195" spans="10:10" x14ac:dyDescent="0.2">
      <c r="J195" s="1"/>
    </row>
    <row r="196" spans="10:10" x14ac:dyDescent="0.2">
      <c r="J196" s="1"/>
    </row>
    <row r="197" spans="10:10" x14ac:dyDescent="0.2">
      <c r="J197" s="1"/>
    </row>
    <row r="198" spans="10:10" x14ac:dyDescent="0.2">
      <c r="J198" s="1"/>
    </row>
    <row r="199" spans="10:10" x14ac:dyDescent="0.2">
      <c r="J199" s="1"/>
    </row>
    <row r="200" spans="10:10" x14ac:dyDescent="0.2">
      <c r="J200" s="1"/>
    </row>
    <row r="201" spans="10:10" x14ac:dyDescent="0.2">
      <c r="J201" s="1"/>
    </row>
    <row r="202" spans="10:10" x14ac:dyDescent="0.2">
      <c r="J202" s="1"/>
    </row>
    <row r="203" spans="10:10" x14ac:dyDescent="0.2">
      <c r="J203" s="1"/>
    </row>
    <row r="204" spans="10:10" x14ac:dyDescent="0.2">
      <c r="J204" s="1"/>
    </row>
    <row r="205" spans="10:10" x14ac:dyDescent="0.2">
      <c r="J205" s="1"/>
    </row>
    <row r="206" spans="10:10" x14ac:dyDescent="0.2">
      <c r="J206" s="1"/>
    </row>
    <row r="207" spans="10:10" x14ac:dyDescent="0.2">
      <c r="J207" s="1"/>
    </row>
    <row r="208" spans="10:10" x14ac:dyDescent="0.2">
      <c r="J208" s="1"/>
    </row>
    <row r="209" spans="10:10" x14ac:dyDescent="0.2">
      <c r="J209" s="1"/>
    </row>
    <row r="210" spans="10:10" x14ac:dyDescent="0.2">
      <c r="J210" s="1"/>
    </row>
    <row r="211" spans="10:10" x14ac:dyDescent="0.2">
      <c r="J211" s="1"/>
    </row>
    <row r="212" spans="10:10" x14ac:dyDescent="0.2">
      <c r="J212" s="1"/>
    </row>
    <row r="213" spans="10:10" x14ac:dyDescent="0.2">
      <c r="J213" s="1"/>
    </row>
    <row r="214" spans="10:10" x14ac:dyDescent="0.2">
      <c r="J214" s="1"/>
    </row>
    <row r="215" spans="10:10" x14ac:dyDescent="0.2">
      <c r="J215" s="1"/>
    </row>
    <row r="216" spans="10:10" x14ac:dyDescent="0.2">
      <c r="J216" s="1"/>
    </row>
    <row r="217" spans="10:10" x14ac:dyDescent="0.2">
      <c r="J217" s="1"/>
    </row>
    <row r="218" spans="10:10" x14ac:dyDescent="0.2">
      <c r="J218" s="1"/>
    </row>
    <row r="219" spans="10:10" x14ac:dyDescent="0.2">
      <c r="J219" s="1"/>
    </row>
    <row r="220" spans="10:10" x14ac:dyDescent="0.2">
      <c r="J220" s="1"/>
    </row>
    <row r="221" spans="10:10" x14ac:dyDescent="0.2">
      <c r="J221" s="1"/>
    </row>
    <row r="222" spans="10:10" x14ac:dyDescent="0.2">
      <c r="J222" s="1"/>
    </row>
    <row r="223" spans="10:10" x14ac:dyDescent="0.2">
      <c r="J223" s="1"/>
    </row>
    <row r="224" spans="10:10" x14ac:dyDescent="0.2">
      <c r="J224" s="1"/>
    </row>
    <row r="225" spans="10:10" x14ac:dyDescent="0.2">
      <c r="J225" s="1"/>
    </row>
    <row r="226" spans="10:10" x14ac:dyDescent="0.2">
      <c r="J226" s="1"/>
    </row>
    <row r="227" spans="10:10" x14ac:dyDescent="0.2">
      <c r="J227" s="1"/>
    </row>
    <row r="228" spans="10:10" x14ac:dyDescent="0.2">
      <c r="J228" s="1"/>
    </row>
    <row r="229" spans="10:10" x14ac:dyDescent="0.2">
      <c r="J229" s="1"/>
    </row>
    <row r="230" spans="10:10" x14ac:dyDescent="0.2">
      <c r="J230" s="1"/>
    </row>
    <row r="231" spans="10:10" x14ac:dyDescent="0.2">
      <c r="J231" s="1"/>
    </row>
    <row r="232" spans="10:10" x14ac:dyDescent="0.2">
      <c r="J232" s="1"/>
    </row>
    <row r="233" spans="10:10" x14ac:dyDescent="0.2">
      <c r="J233" s="1"/>
    </row>
    <row r="234" spans="10:10" x14ac:dyDescent="0.2">
      <c r="J234" s="1"/>
    </row>
    <row r="235" spans="10:10" x14ac:dyDescent="0.2">
      <c r="J235" s="1"/>
    </row>
    <row r="236" spans="10:10" x14ac:dyDescent="0.2">
      <c r="J236" s="1"/>
    </row>
    <row r="237" spans="10:10" x14ac:dyDescent="0.2">
      <c r="J237" s="1"/>
    </row>
    <row r="238" spans="10:10" x14ac:dyDescent="0.2">
      <c r="J238" s="1"/>
    </row>
    <row r="239" spans="10:10" x14ac:dyDescent="0.2">
      <c r="J239" s="1"/>
    </row>
    <row r="240" spans="10:10" x14ac:dyDescent="0.2">
      <c r="J240" s="1"/>
    </row>
    <row r="241" spans="10:10" x14ac:dyDescent="0.2">
      <c r="J241" s="1"/>
    </row>
    <row r="242" spans="10:10" x14ac:dyDescent="0.2">
      <c r="J242" s="1"/>
    </row>
    <row r="243" spans="10:10" x14ac:dyDescent="0.2">
      <c r="J243" s="1"/>
    </row>
    <row r="244" spans="10:10" x14ac:dyDescent="0.2">
      <c r="J244" s="1"/>
    </row>
    <row r="245" spans="10:10" x14ac:dyDescent="0.2">
      <c r="J245" s="1"/>
    </row>
    <row r="246" spans="10:10" x14ac:dyDescent="0.2">
      <c r="J246" s="1"/>
    </row>
    <row r="247" spans="10:10" x14ac:dyDescent="0.2">
      <c r="J247" s="1"/>
    </row>
    <row r="248" spans="10:10" x14ac:dyDescent="0.2">
      <c r="J248" s="1"/>
    </row>
    <row r="249" spans="10:10" x14ac:dyDescent="0.2">
      <c r="J249" s="1"/>
    </row>
    <row r="250" spans="10:10" x14ac:dyDescent="0.2">
      <c r="J250" s="1"/>
    </row>
    <row r="251" spans="10:10" x14ac:dyDescent="0.2">
      <c r="J251" s="1"/>
    </row>
    <row r="252" spans="10:10" x14ac:dyDescent="0.2">
      <c r="J252" s="1"/>
    </row>
    <row r="253" spans="10:10" x14ac:dyDescent="0.2">
      <c r="J253" s="1"/>
    </row>
    <row r="254" spans="10:10" x14ac:dyDescent="0.2">
      <c r="J254" s="1"/>
    </row>
    <row r="255" spans="10:10" x14ac:dyDescent="0.2">
      <c r="J255" s="1"/>
    </row>
    <row r="256" spans="10:10" x14ac:dyDescent="0.2">
      <c r="J256" s="1"/>
    </row>
    <row r="257" spans="10:10" x14ac:dyDescent="0.2">
      <c r="J257" s="1"/>
    </row>
    <row r="258" spans="10:10" x14ac:dyDescent="0.2">
      <c r="J258" s="1"/>
    </row>
    <row r="259" spans="10:10" x14ac:dyDescent="0.2">
      <c r="J259" s="1"/>
    </row>
    <row r="260" spans="10:10" x14ac:dyDescent="0.2">
      <c r="J260" s="1"/>
    </row>
    <row r="261" spans="10:10" x14ac:dyDescent="0.2">
      <c r="J261" s="1"/>
    </row>
    <row r="262" spans="10:10" x14ac:dyDescent="0.2">
      <c r="J262" s="1"/>
    </row>
    <row r="263" spans="10:10" x14ac:dyDescent="0.2">
      <c r="J263" s="1"/>
    </row>
    <row r="264" spans="10:10" x14ac:dyDescent="0.2">
      <c r="J264" s="1"/>
    </row>
    <row r="265" spans="10:10" x14ac:dyDescent="0.2">
      <c r="J265" s="1"/>
    </row>
    <row r="266" spans="10:10" x14ac:dyDescent="0.2">
      <c r="J266" s="1"/>
    </row>
    <row r="267" spans="10:10" x14ac:dyDescent="0.2">
      <c r="J267" s="1"/>
    </row>
    <row r="268" spans="10:10" x14ac:dyDescent="0.2">
      <c r="J268" s="1"/>
    </row>
    <row r="269" spans="10:10" x14ac:dyDescent="0.2">
      <c r="J269" s="1"/>
    </row>
    <row r="270" spans="10:10" x14ac:dyDescent="0.2">
      <c r="J270" s="1"/>
    </row>
    <row r="271" spans="10:10" x14ac:dyDescent="0.2">
      <c r="J271" s="1"/>
    </row>
    <row r="272" spans="10:10" x14ac:dyDescent="0.2">
      <c r="J272" s="1"/>
    </row>
    <row r="273" spans="10:10" x14ac:dyDescent="0.2">
      <c r="J273" s="1"/>
    </row>
    <row r="274" spans="10:10" x14ac:dyDescent="0.2">
      <c r="J274" s="1"/>
    </row>
    <row r="275" spans="10:10" x14ac:dyDescent="0.2">
      <c r="J275" s="1"/>
    </row>
    <row r="276" spans="10:10" x14ac:dyDescent="0.2">
      <c r="J276" s="1"/>
    </row>
    <row r="277" spans="10:10" x14ac:dyDescent="0.2">
      <c r="J277" s="1"/>
    </row>
    <row r="278" spans="10:10" x14ac:dyDescent="0.2">
      <c r="J278" s="1"/>
    </row>
    <row r="279" spans="10:10" x14ac:dyDescent="0.2">
      <c r="J279" s="1"/>
    </row>
    <row r="280" spans="10:10" x14ac:dyDescent="0.2">
      <c r="J280" s="1"/>
    </row>
    <row r="281" spans="10:10" x14ac:dyDescent="0.2">
      <c r="J281" s="1"/>
    </row>
    <row r="282" spans="10:10" x14ac:dyDescent="0.2">
      <c r="J282" s="1"/>
    </row>
    <row r="283" spans="10:10" x14ac:dyDescent="0.2">
      <c r="J283" s="1"/>
    </row>
    <row r="284" spans="10:10" x14ac:dyDescent="0.2">
      <c r="J284" s="1"/>
    </row>
    <row r="285" spans="10:10" x14ac:dyDescent="0.2">
      <c r="J285" s="1"/>
    </row>
    <row r="286" spans="10:10" x14ac:dyDescent="0.2">
      <c r="J286" s="1"/>
    </row>
    <row r="287" spans="10:10" x14ac:dyDescent="0.2">
      <c r="J287" s="1"/>
    </row>
    <row r="288" spans="10:10" x14ac:dyDescent="0.2">
      <c r="J288" s="1"/>
    </row>
    <row r="289" spans="10:10" x14ac:dyDescent="0.2">
      <c r="J289" s="1"/>
    </row>
    <row r="290" spans="10:10" x14ac:dyDescent="0.2">
      <c r="J290" s="1"/>
    </row>
    <row r="291" spans="10:10" x14ac:dyDescent="0.2">
      <c r="J291" s="1"/>
    </row>
    <row r="292" spans="10:10" x14ac:dyDescent="0.2">
      <c r="J292" s="1"/>
    </row>
    <row r="293" spans="10:10" x14ac:dyDescent="0.2">
      <c r="J293" s="1"/>
    </row>
    <row r="294" spans="10:10" x14ac:dyDescent="0.2">
      <c r="J294" s="1"/>
    </row>
    <row r="295" spans="10:10" x14ac:dyDescent="0.2">
      <c r="J295" s="1"/>
    </row>
    <row r="296" spans="10:10" x14ac:dyDescent="0.2">
      <c r="J296" s="1"/>
    </row>
    <row r="297" spans="10:10" x14ac:dyDescent="0.2">
      <c r="J297" s="1"/>
    </row>
    <row r="298" spans="10:10" x14ac:dyDescent="0.2">
      <c r="J298" s="1"/>
    </row>
    <row r="299" spans="10:10" x14ac:dyDescent="0.2">
      <c r="J299" s="1"/>
    </row>
    <row r="300" spans="10:10" x14ac:dyDescent="0.2">
      <c r="J300" s="1"/>
    </row>
    <row r="301" spans="10:10" x14ac:dyDescent="0.2">
      <c r="J301" s="1"/>
    </row>
    <row r="302" spans="10:10" x14ac:dyDescent="0.2">
      <c r="J3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Montgomery</dc:creator>
  <cp:lastModifiedBy>Alexis Montgomery</cp:lastModifiedBy>
  <dcterms:created xsi:type="dcterms:W3CDTF">2026-09-21T17:25:45Z</dcterms:created>
  <dcterms:modified xsi:type="dcterms:W3CDTF">2026-09-22T04:37:08Z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2026-09-21T17:25:50Z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cd34f3f7-e2e8-4b4d-99e5-5732ed0df9c4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