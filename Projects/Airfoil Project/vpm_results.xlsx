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nton/Personal/School/Aerodynamics/Projects/Airfoil Project/"/>
    </mc:Choice>
  </mc:AlternateContent>
  <xr:revisionPtr revIDLastSave="0" documentId="13_ncr:1_{4AD71B38-57AE-414C-8005-B1900C903401}" xr6:coauthVersionLast="47" xr6:coauthVersionMax="47" xr10:uidLastSave="{00000000-0000-0000-0000-000000000000}"/>
  <bookViews>
    <workbookView xWindow="0" yWindow="680" windowWidth="28800" windowHeight="17960" activeTab="1" xr2:uid="{78CCE67D-3157-0E4F-B537-1D5EA6E851EB}"/>
  </bookViews>
  <sheets>
    <sheet name="2412" sheetId="1" r:id="rId1"/>
    <sheet name="2421" sheetId="2" r:id="rId2"/>
    <sheet name="001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G3" i="3"/>
  <c r="K4" i="3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M17" i="3" s="1"/>
  <c r="F4" i="3"/>
  <c r="F5" i="3" s="1"/>
  <c r="G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F4" i="2"/>
  <c r="F5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G3" i="2"/>
  <c r="G3" i="1"/>
  <c r="G4" i="3" l="1"/>
  <c r="M10" i="3"/>
  <c r="M9" i="3"/>
  <c r="M8" i="3"/>
  <c r="M16" i="3"/>
  <c r="M15" i="3"/>
  <c r="M7" i="3"/>
  <c r="M11" i="3"/>
  <c r="M14" i="3"/>
  <c r="M6" i="3"/>
  <c r="M13" i="3"/>
  <c r="M5" i="3"/>
  <c r="M12" i="3"/>
  <c r="M4" i="3"/>
  <c r="F6" i="3"/>
  <c r="G6" i="3" s="1"/>
  <c r="G5" i="2"/>
  <c r="F6" i="2"/>
  <c r="G4" i="2"/>
  <c r="F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F5" i="1" l="1"/>
  <c r="G4" i="1"/>
  <c r="F7" i="3"/>
  <c r="G7" i="3" s="1"/>
  <c r="G6" i="2"/>
  <c r="F7" i="2"/>
  <c r="F6" i="1" l="1"/>
  <c r="G5" i="1"/>
  <c r="F8" i="3"/>
  <c r="G8" i="3" s="1"/>
  <c r="F8" i="2"/>
  <c r="G7" i="2"/>
  <c r="F7" i="1" l="1"/>
  <c r="G6" i="1"/>
  <c r="F9" i="3"/>
  <c r="G9" i="3" s="1"/>
  <c r="G8" i="2"/>
  <c r="F9" i="2"/>
  <c r="F8" i="1" l="1"/>
  <c r="G7" i="1"/>
  <c r="F10" i="3"/>
  <c r="G10" i="3" s="1"/>
  <c r="F10" i="2"/>
  <c r="G9" i="2"/>
  <c r="F9" i="1" l="1"/>
  <c r="G8" i="1"/>
  <c r="F11" i="3"/>
  <c r="G11" i="3" s="1"/>
  <c r="F11" i="2"/>
  <c r="G10" i="2"/>
  <c r="F10" i="1" l="1"/>
  <c r="G9" i="1"/>
  <c r="F12" i="3"/>
  <c r="G12" i="3" s="1"/>
  <c r="F12" i="2"/>
  <c r="G11" i="2"/>
  <c r="F11" i="1" l="1"/>
  <c r="G10" i="1"/>
  <c r="F13" i="3"/>
  <c r="G13" i="3" s="1"/>
  <c r="F13" i="2"/>
  <c r="G12" i="2"/>
  <c r="F12" i="1" l="1"/>
  <c r="G11" i="1"/>
  <c r="F14" i="3"/>
  <c r="G14" i="3" s="1"/>
  <c r="G13" i="2"/>
  <c r="F14" i="2"/>
  <c r="F13" i="1" l="1"/>
  <c r="G12" i="1"/>
  <c r="F15" i="3"/>
  <c r="G15" i="3" s="1"/>
  <c r="G14" i="2"/>
  <c r="F15" i="2"/>
  <c r="F14" i="1" l="1"/>
  <c r="G13" i="1"/>
  <c r="F16" i="3"/>
  <c r="G16" i="3" s="1"/>
  <c r="F16" i="2"/>
  <c r="G15" i="2"/>
  <c r="F15" i="1" l="1"/>
  <c r="G14" i="1"/>
  <c r="F17" i="3"/>
  <c r="G17" i="3" s="1"/>
  <c r="F17" i="2"/>
  <c r="G17" i="2" s="1"/>
  <c r="G16" i="2"/>
  <c r="F16" i="1" l="1"/>
  <c r="G15" i="1"/>
  <c r="F17" i="1" l="1"/>
  <c r="G17" i="1" s="1"/>
  <c r="G16" i="1"/>
</calcChain>
</file>

<file path=xl/sharedStrings.xml><?xml version="1.0" encoding="utf-8"?>
<sst xmlns="http://schemas.openxmlformats.org/spreadsheetml/2006/main" count="46" uniqueCount="9">
  <si>
    <t>alpha [deg]</t>
  </si>
  <si>
    <t>CL_tilde</t>
  </si>
  <si>
    <t>Cmle_tilde</t>
  </si>
  <si>
    <t>Cmc/4_tilde</t>
  </si>
  <si>
    <t>VPM</t>
  </si>
  <si>
    <t>TAT</t>
  </si>
  <si>
    <t>XFOIL</t>
  </si>
  <si>
    <t>Experimental</t>
  </si>
  <si>
    <t>CD_tilde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</si>
</sst>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'2412'!$A$3:$A$17</c:f>
              <c:numCache>
                <c:formatCode>General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'2412'!$B$3:$B$17</c:f>
              <c:numCache>
                <c:formatCode>General</c:formatCode>
                <c:ptCount val="15"/>
                <c:pt idx="0">
                  <c:v>-1.1843399999999999</c:v>
                </c:pt>
                <c:pt idx="1">
                  <c:v>-0.94564000000000004</c:v>
                </c:pt>
                <c:pt idx="2">
                  <c:v>-0.70577999999999996</c:v>
                </c:pt>
                <c:pt idx="3">
                  <c:v>-0.46505000000000002</c:v>
                </c:pt>
                <c:pt idx="4">
                  <c:v>-0.22377</c:v>
                </c:pt>
                <c:pt idx="5">
                  <c:v>1.779E-2</c:v>
                </c:pt>
                <c:pt idx="6">
                  <c:v>0.25933</c:v>
                </c:pt>
                <c:pt idx="7">
                  <c:v>0.50055000000000005</c:v>
                </c:pt>
                <c:pt idx="8">
                  <c:v>0.74116000000000004</c:v>
                </c:pt>
                <c:pt idx="9">
                  <c:v>0.98087000000000002</c:v>
                </c:pt>
                <c:pt idx="10">
                  <c:v>1.21939</c:v>
                </c:pt>
                <c:pt idx="11">
                  <c:v>1.45642</c:v>
                </c:pt>
                <c:pt idx="12">
                  <c:v>1.69167</c:v>
                </c:pt>
                <c:pt idx="13">
                  <c:v>1.92486</c:v>
                </c:pt>
                <c:pt idx="14">
                  <c:v>2.15571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1-5D46-9912-C7BFA7DC0875}"/>
            </c:ext>
          </c:extLst>
        </c:ser>
        <c:ser>
          <c:idx val="1"/>
          <c:order val="1"/>
          <c:tx>
            <c:v>TAT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'2412'!$F$3:$F$17</c:f>
              <c:numCache>
                <c:formatCode>General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'2412'!$G$3:$G$17</c:f>
              <c:numCache>
                <c:formatCode>General</c:formatCode>
                <c:ptCount val="15"/>
                <c:pt idx="0">
                  <c:v>-1.0881787163556635</c:v>
                </c:pt>
                <c:pt idx="1">
                  <c:v>-0.86885417410923305</c:v>
                </c:pt>
                <c:pt idx="2">
                  <c:v>-0.64952963186280299</c:v>
                </c:pt>
                <c:pt idx="3">
                  <c:v>-0.43020508961637283</c:v>
                </c:pt>
                <c:pt idx="4">
                  <c:v>-0.21088054736994261</c:v>
                </c:pt>
                <c:pt idx="5">
                  <c:v>8.4439948764875681E-3</c:v>
                </c:pt>
                <c:pt idx="6">
                  <c:v>0.22776853712291775</c:v>
                </c:pt>
                <c:pt idx="7">
                  <c:v>0.44709307936934795</c:v>
                </c:pt>
                <c:pt idx="8">
                  <c:v>0.66641762161577811</c:v>
                </c:pt>
                <c:pt idx="9">
                  <c:v>0.88574216386220839</c:v>
                </c:pt>
                <c:pt idx="10">
                  <c:v>1.1050667061086386</c:v>
                </c:pt>
                <c:pt idx="11">
                  <c:v>1.3243912483550686</c:v>
                </c:pt>
                <c:pt idx="12">
                  <c:v>1.5437157906014989</c:v>
                </c:pt>
                <c:pt idx="13">
                  <c:v>1.7630403328479289</c:v>
                </c:pt>
                <c:pt idx="14">
                  <c:v>1.982364875094359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1-5D46-9912-C7BFA7DC0875}"/>
            </c:ext>
          </c:extLst>
        </c:ser>
        <c:ser>
          <c:idx val="2"/>
          <c:order val="2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'2412'!$K$3:$K$17</c:f>
              <c:numCache>
                <c:formatCode>General</c:formatCode>
                <c:ptCount val="15"/>
                <c:pt idx="0">
                  <c:v>-8.4368700000000008</c:v>
                </c:pt>
                <c:pt idx="1">
                  <c:v>-6.4343300000000001</c:v>
                </c:pt>
                <c:pt idx="2">
                  <c:v>-4.2073999999999998</c:v>
                </c:pt>
                <c:pt idx="3">
                  <c:v>-2.30335</c:v>
                </c:pt>
                <c:pt idx="4">
                  <c:v>-0.17479600000000001</c:v>
                </c:pt>
                <c:pt idx="5">
                  <c:v>1.6630400000000001</c:v>
                </c:pt>
                <c:pt idx="6">
                  <c:v>3.7577400000000001</c:v>
                </c:pt>
                <c:pt idx="7">
                  <c:v>5.8516700000000004</c:v>
                </c:pt>
                <c:pt idx="8">
                  <c:v>7.9769699999999997</c:v>
                </c:pt>
                <c:pt idx="9">
                  <c:v>10.004899999999999</c:v>
                </c:pt>
                <c:pt idx="10">
                  <c:v>12.064399999999999</c:v>
                </c:pt>
                <c:pt idx="11">
                  <c:v>14.22</c:v>
                </c:pt>
                <c:pt idx="12">
                  <c:v>15.281499999999999</c:v>
                </c:pt>
                <c:pt idx="13">
                  <c:v>15.7967</c:v>
                </c:pt>
                <c:pt idx="14">
                  <c:v>16.312200000000001</c:v>
                </c:pt>
              </c:numCache>
            </c:numRef>
          </c:xVal>
          <c:yVal>
            <c:numRef>
              <c:f>'2412'!$L$3:$L$17</c:f>
              <c:numCache>
                <c:formatCode>General</c:formatCode>
                <c:ptCount val="15"/>
                <c:pt idx="0">
                  <c:v>-0.60493699999999995</c:v>
                </c:pt>
                <c:pt idx="1">
                  <c:v>-0.37538700000000003</c:v>
                </c:pt>
                <c:pt idx="2">
                  <c:v>-0.18035100000000001</c:v>
                </c:pt>
                <c:pt idx="3">
                  <c:v>4.7369799999999997E-2</c:v>
                </c:pt>
                <c:pt idx="4">
                  <c:v>0.24551799999999999</c:v>
                </c:pt>
                <c:pt idx="5">
                  <c:v>0.45668300000000001</c:v>
                </c:pt>
                <c:pt idx="6">
                  <c:v>0.64812800000000004</c:v>
                </c:pt>
                <c:pt idx="7">
                  <c:v>0.85585500000000003</c:v>
                </c:pt>
                <c:pt idx="8">
                  <c:v>1.0438799999999999</c:v>
                </c:pt>
                <c:pt idx="9">
                  <c:v>1.2432799999999999</c:v>
                </c:pt>
                <c:pt idx="10">
                  <c:v>1.39849</c:v>
                </c:pt>
                <c:pt idx="11">
                  <c:v>1.5275300000000001</c:v>
                </c:pt>
                <c:pt idx="12">
                  <c:v>1.5944799999999999</c:v>
                </c:pt>
                <c:pt idx="13">
                  <c:v>1.5650900000000001</c:v>
                </c:pt>
                <c:pt idx="14">
                  <c:v>1.50956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A1-5D46-9912-C7BFA7DC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62895"/>
        <c:axId val="935243263"/>
      </c:scatterChart>
      <c:valAx>
        <c:axId val="9352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𝛼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43263"/>
        <c:crossesAt val="-1.5"/>
        <c:crossBetween val="midCat"/>
      </c:valAx>
      <c:valAx>
        <c:axId val="935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62895"/>
        <c:crossesAt val="-15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'2421'!$A$3:$A$17</c:f>
              <c:numCache>
                <c:formatCode>General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'2421'!$B$3:$B$17</c:f>
              <c:numCache>
                <c:formatCode>0.00000</c:formatCode>
                <c:ptCount val="15"/>
                <c:pt idx="0">
                  <c:v>-1.25946</c:v>
                </c:pt>
                <c:pt idx="1">
                  <c:v>-1.00407</c:v>
                </c:pt>
                <c:pt idx="2">
                  <c:v>-0.74744999999999995</c:v>
                </c:pt>
                <c:pt idx="3">
                  <c:v>-0.48992000000000002</c:v>
                </c:pt>
                <c:pt idx="4">
                  <c:v>-0.23179</c:v>
                </c:pt>
                <c:pt idx="5">
                  <c:v>2.6620000000000001E-2</c:v>
                </c:pt>
                <c:pt idx="6">
                  <c:v>0.28499999999999998</c:v>
                </c:pt>
                <c:pt idx="7">
                  <c:v>0.54303000000000001</c:v>
                </c:pt>
                <c:pt idx="8">
                  <c:v>0.8004</c:v>
                </c:pt>
                <c:pt idx="9">
                  <c:v>1.0567899999999999</c:v>
                </c:pt>
                <c:pt idx="10">
                  <c:v>1.31189</c:v>
                </c:pt>
                <c:pt idx="11">
                  <c:v>1.5653999999999999</c:v>
                </c:pt>
                <c:pt idx="12">
                  <c:v>1.8169999999999999</c:v>
                </c:pt>
                <c:pt idx="13">
                  <c:v>2.0663900000000002</c:v>
                </c:pt>
                <c:pt idx="14">
                  <c:v>2.3132600000000001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1-D444-8D40-51C12992CCEE}"/>
            </c:ext>
          </c:extLst>
        </c:ser>
        <c:ser>
          <c:idx val="1"/>
          <c:order val="1"/>
          <c:tx>
            <c:v>TAT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'2421'!$F$3:$F$17</c:f>
              <c:numCache>
                <c:formatCode>General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'2421'!$G$3:$G$17</c:f>
              <c:numCache>
                <c:formatCode>General</c:formatCode>
                <c:ptCount val="15"/>
                <c:pt idx="0">
                  <c:v>-1.0881787163556635</c:v>
                </c:pt>
                <c:pt idx="1">
                  <c:v>-0.86885417410923305</c:v>
                </c:pt>
                <c:pt idx="2">
                  <c:v>-0.64952963186280299</c:v>
                </c:pt>
                <c:pt idx="3">
                  <c:v>-0.43020508961637283</c:v>
                </c:pt>
                <c:pt idx="4">
                  <c:v>-0.21088054736994261</c:v>
                </c:pt>
                <c:pt idx="5">
                  <c:v>8.4439948764875681E-3</c:v>
                </c:pt>
                <c:pt idx="6">
                  <c:v>0.22776853712291775</c:v>
                </c:pt>
                <c:pt idx="7">
                  <c:v>0.44709307936934795</c:v>
                </c:pt>
                <c:pt idx="8">
                  <c:v>0.66641762161577811</c:v>
                </c:pt>
                <c:pt idx="9">
                  <c:v>0.88574216386220839</c:v>
                </c:pt>
                <c:pt idx="10">
                  <c:v>1.1050667061086386</c:v>
                </c:pt>
                <c:pt idx="11">
                  <c:v>1.3243912483550686</c:v>
                </c:pt>
                <c:pt idx="12">
                  <c:v>1.5437157906014989</c:v>
                </c:pt>
                <c:pt idx="13">
                  <c:v>1.7630403328479289</c:v>
                </c:pt>
                <c:pt idx="14">
                  <c:v>1.982364875094359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11-D444-8D40-51C12992CCEE}"/>
            </c:ext>
          </c:extLst>
        </c:ser>
        <c:ser>
          <c:idx val="2"/>
          <c:order val="2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'2421'!$K$3:$K$17</c:f>
              <c:numCache>
                <c:formatCode>General</c:formatCode>
                <c:ptCount val="15"/>
                <c:pt idx="0">
                  <c:v>-12.2569</c:v>
                </c:pt>
                <c:pt idx="1">
                  <c:v>-10.3102</c:v>
                </c:pt>
                <c:pt idx="2">
                  <c:v>-6.1609600000000002</c:v>
                </c:pt>
                <c:pt idx="3">
                  <c:v>-3.98794</c:v>
                </c:pt>
                <c:pt idx="4">
                  <c:v>-2.17022</c:v>
                </c:pt>
                <c:pt idx="5">
                  <c:v>-3.1766999999999997E-2</c:v>
                </c:pt>
                <c:pt idx="6">
                  <c:v>1.9119200000000001</c:v>
                </c:pt>
                <c:pt idx="7">
                  <c:v>4.0824499999999997</c:v>
                </c:pt>
                <c:pt idx="8">
                  <c:v>6.0571900000000003</c:v>
                </c:pt>
                <c:pt idx="9">
                  <c:v>8.1944700000000008</c:v>
                </c:pt>
                <c:pt idx="10">
                  <c:v>10.004300000000001</c:v>
                </c:pt>
                <c:pt idx="11">
                  <c:v>12.265599999999999</c:v>
                </c:pt>
                <c:pt idx="12">
                  <c:v>14.071300000000001</c:v>
                </c:pt>
                <c:pt idx="13">
                  <c:v>16.288499999999999</c:v>
                </c:pt>
              </c:numCache>
            </c:numRef>
          </c:xVal>
          <c:yVal>
            <c:numRef>
              <c:f>'2421'!$L$3:$L$17</c:f>
              <c:numCache>
                <c:formatCode>General</c:formatCode>
                <c:ptCount val="15"/>
                <c:pt idx="0">
                  <c:v>-1.02186</c:v>
                </c:pt>
                <c:pt idx="1">
                  <c:v>-0.82842300000000002</c:v>
                </c:pt>
                <c:pt idx="2">
                  <c:v>-0.45816400000000002</c:v>
                </c:pt>
                <c:pt idx="3">
                  <c:v>-0.235073</c:v>
                </c:pt>
                <c:pt idx="4">
                  <c:v>-1.8620000000000001E-2</c:v>
                </c:pt>
                <c:pt idx="5">
                  <c:v>0.17630599999999999</c:v>
                </c:pt>
                <c:pt idx="6">
                  <c:v>0.35303000000000001</c:v>
                </c:pt>
                <c:pt idx="7">
                  <c:v>0.55780200000000002</c:v>
                </c:pt>
                <c:pt idx="8">
                  <c:v>0.72620200000000001</c:v>
                </c:pt>
                <c:pt idx="9">
                  <c:v>0.92595000000000005</c:v>
                </c:pt>
                <c:pt idx="10">
                  <c:v>1.03979</c:v>
                </c:pt>
                <c:pt idx="11">
                  <c:v>1.1733899999999999</c:v>
                </c:pt>
                <c:pt idx="12">
                  <c:v>1.2293799999999999</c:v>
                </c:pt>
                <c:pt idx="13">
                  <c:v>1.1796199999999999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11-D444-8D40-51C12992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62895"/>
        <c:axId val="935243263"/>
      </c:scatterChart>
      <c:valAx>
        <c:axId val="9352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𝛼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43263"/>
        <c:crossesAt val="-1.5"/>
        <c:crossBetween val="midCat"/>
      </c:valAx>
      <c:valAx>
        <c:axId val="935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62895"/>
        <c:crossesAt val="-15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'0015'!$A$3:$A$17</c:f>
              <c:numCache>
                <c:formatCode>0.00000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'0015'!$B$3:$B$17</c:f>
              <c:numCache>
                <c:formatCode>0.00000</c:formatCode>
                <c:ptCount val="15"/>
                <c:pt idx="0">
                  <c:v>-1.47119</c:v>
                </c:pt>
                <c:pt idx="1">
                  <c:v>-1.2287399999999999</c:v>
                </c:pt>
                <c:pt idx="2">
                  <c:v>-0.98479000000000005</c:v>
                </c:pt>
                <c:pt idx="3">
                  <c:v>-0.73965000000000003</c:v>
                </c:pt>
                <c:pt idx="4">
                  <c:v>-0.49359999999999998</c:v>
                </c:pt>
                <c:pt idx="5">
                  <c:v>-0.24695</c:v>
                </c:pt>
                <c:pt idx="6">
                  <c:v>0</c:v>
                </c:pt>
                <c:pt idx="7">
                  <c:v>0.24695</c:v>
                </c:pt>
                <c:pt idx="8">
                  <c:v>0.49359999999999998</c:v>
                </c:pt>
                <c:pt idx="9">
                  <c:v>0.73965000000000003</c:v>
                </c:pt>
                <c:pt idx="10">
                  <c:v>0.98479000000000005</c:v>
                </c:pt>
                <c:pt idx="11">
                  <c:v>1.2287399999999999</c:v>
                </c:pt>
                <c:pt idx="12">
                  <c:v>1.47119</c:v>
                </c:pt>
                <c:pt idx="13">
                  <c:v>1.71184</c:v>
                </c:pt>
                <c:pt idx="14">
                  <c:v>1.95041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E-C743-9AED-AE87A41F2434}"/>
            </c:ext>
          </c:extLst>
        </c:ser>
        <c:ser>
          <c:idx val="1"/>
          <c:order val="1"/>
          <c:tx>
            <c:v>TAT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'0015'!$F$3:$F$17</c:f>
              <c:numCache>
                <c:formatCode>0.00000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'0015'!$G$3:$G$17</c:f>
              <c:numCache>
                <c:formatCode>0.00000</c:formatCode>
                <c:ptCount val="15"/>
                <c:pt idx="0">
                  <c:v>-1.3159472534785812</c:v>
                </c:pt>
                <c:pt idx="1">
                  <c:v>-1.0966227112321509</c:v>
                </c:pt>
                <c:pt idx="2">
                  <c:v>-0.87729816898572077</c:v>
                </c:pt>
                <c:pt idx="3">
                  <c:v>-0.65797362673929061</c:v>
                </c:pt>
                <c:pt idx="4">
                  <c:v>-0.43864908449286039</c:v>
                </c:pt>
                <c:pt idx="5">
                  <c:v>-0.21932454224643019</c:v>
                </c:pt>
                <c:pt idx="6">
                  <c:v>0</c:v>
                </c:pt>
                <c:pt idx="7">
                  <c:v>0.21932454224643019</c:v>
                </c:pt>
                <c:pt idx="8">
                  <c:v>0.43864908449286039</c:v>
                </c:pt>
                <c:pt idx="9">
                  <c:v>0.65797362673929061</c:v>
                </c:pt>
                <c:pt idx="10">
                  <c:v>0.87729816898572077</c:v>
                </c:pt>
                <c:pt idx="11">
                  <c:v>1.0966227112321509</c:v>
                </c:pt>
                <c:pt idx="12">
                  <c:v>1.3159472534785812</c:v>
                </c:pt>
                <c:pt idx="13">
                  <c:v>1.5352717957250113</c:v>
                </c:pt>
                <c:pt idx="14">
                  <c:v>1.7545963379714415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4E-C743-9AED-AE87A41F2434}"/>
            </c:ext>
          </c:extLst>
        </c:ser>
        <c:ser>
          <c:idx val="2"/>
          <c:order val="2"/>
          <c:tx>
            <c:v>XFOIL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'0015'!$K$3:$K$17</c:f>
              <c:numCache>
                <c:formatCode>0.00000</c:formatCode>
                <c:ptCount val="15"/>
                <c:pt idx="0">
                  <c:v>-12</c:v>
                </c:pt>
                <c:pt idx="1">
                  <c:v>-10</c:v>
                </c:pt>
                <c:pt idx="2">
                  <c:v>-8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</c:numCache>
            </c:numRef>
          </c:xVal>
          <c:yVal>
            <c:numRef>
              <c:f>'0015'!$L$3:$L$17</c:f>
              <c:numCache>
                <c:formatCode>0.00000</c:formatCode>
                <c:ptCount val="15"/>
                <c:pt idx="0">
                  <c:v>-1.3138000000000001</c:v>
                </c:pt>
                <c:pt idx="1">
                  <c:v>-1.1020000000000001</c:v>
                </c:pt>
                <c:pt idx="2">
                  <c:v>-0.87380000000000002</c:v>
                </c:pt>
                <c:pt idx="3">
                  <c:v>-0.66490000000000005</c:v>
                </c:pt>
                <c:pt idx="4">
                  <c:v>-0.44740000000000002</c:v>
                </c:pt>
                <c:pt idx="5">
                  <c:v>-0.2253</c:v>
                </c:pt>
                <c:pt idx="6">
                  <c:v>1E-4</c:v>
                </c:pt>
                <c:pt idx="7">
                  <c:v>0.2253</c:v>
                </c:pt>
                <c:pt idx="8">
                  <c:v>0.44740000000000002</c:v>
                </c:pt>
                <c:pt idx="9">
                  <c:v>0.66490000000000005</c:v>
                </c:pt>
                <c:pt idx="10">
                  <c:v>0.87380000000000002</c:v>
                </c:pt>
                <c:pt idx="11">
                  <c:v>1.1021000000000001</c:v>
                </c:pt>
                <c:pt idx="12">
                  <c:v>1.3138000000000001</c:v>
                </c:pt>
                <c:pt idx="13">
                  <c:v>1.4595</c:v>
                </c:pt>
                <c:pt idx="14">
                  <c:v>1.5797000000000001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4E-C743-9AED-AE87A41F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62895"/>
        <c:axId val="935243263"/>
      </c:scatterChart>
      <c:valAx>
        <c:axId val="9352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𝛼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43263"/>
        <c:crossesAt val="-2"/>
        <c:crossBetween val="midCat"/>
      </c:valAx>
      <c:valAx>
        <c:axId val="935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C̃</a:t>
                </a:r>
                <a:r>
                  <a:rPr lang="en-US" sz="12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5262895"/>
        <c:crossesAt val="-15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18</xdr:row>
      <xdr:rowOff>31750</xdr:rowOff>
    </xdr:from>
    <xdr:to>
      <xdr:col>9</xdr:col>
      <xdr:colOff>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2BDFE-F6C3-1B8B-83BD-74EF9A77E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18</xdr:row>
      <xdr:rowOff>31750</xdr:rowOff>
    </xdr:from>
    <xdr:to>
      <xdr:col>9</xdr:col>
      <xdr:colOff>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CE9FF-2A0C-DC46-8ED0-5A73380A7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18</xdr:row>
      <xdr:rowOff>31750</xdr:rowOff>
    </xdr:from>
    <xdr:to>
      <xdr:col>9</xdr:col>
      <xdr:colOff>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D83AB-301B-B247-8915-3630B5276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8FE6-2BBC-A44B-9499-30FD511F524C}">
  <dimension ref="A1:N17"/>
  <sheetViews>
    <sheetView topLeftCell="A10" zoomScale="111" zoomScaleNormal="130" workbookViewId="0">
      <selection activeCell="C3" sqref="C3:D17"/>
    </sheetView>
  </sheetViews>
  <sheetFormatPr baseColWidth="10" defaultRowHeight="16" x14ac:dyDescent="0.2"/>
  <sheetData>
    <row r="1" spans="1:14" x14ac:dyDescent="0.2">
      <c r="A1" s="6" t="s">
        <v>4</v>
      </c>
      <c r="B1" s="6"/>
      <c r="C1" s="6"/>
      <c r="D1" s="6"/>
      <c r="F1" s="6" t="s">
        <v>5</v>
      </c>
      <c r="G1" s="6"/>
      <c r="H1" s="6"/>
      <c r="I1" s="6"/>
      <c r="K1" s="6" t="s">
        <v>7</v>
      </c>
      <c r="L1" s="6"/>
      <c r="M1" s="6"/>
      <c r="N1" s="6"/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4" x14ac:dyDescent="0.2">
      <c r="A3">
        <v>-12</v>
      </c>
      <c r="B3">
        <v>-1.1843399999999999</v>
      </c>
      <c r="C3" s="5">
        <v>0.24912999999999999</v>
      </c>
      <c r="D3" s="5">
        <v>-4.0480000000000002E-2</v>
      </c>
      <c r="F3">
        <v>-12</v>
      </c>
      <c r="G3">
        <f>(2*PI())*((RADIANS(F3)-RADIANS(-2.077)))</f>
        <v>-1.0881787163556635</v>
      </c>
      <c r="K3" s="2">
        <v>-8.4368700000000008</v>
      </c>
      <c r="L3" s="2">
        <v>-0.60493699999999995</v>
      </c>
    </row>
    <row r="4" spans="1:14" x14ac:dyDescent="0.2">
      <c r="A4">
        <f>A3+2</f>
        <v>-10</v>
      </c>
      <c r="B4">
        <v>-0.94564000000000004</v>
      </c>
      <c r="C4" s="5">
        <v>0.19014</v>
      </c>
      <c r="D4" s="5">
        <v>-4.2680000000000003E-2</v>
      </c>
      <c r="F4">
        <f>F3+2</f>
        <v>-10</v>
      </c>
      <c r="G4">
        <f t="shared" ref="G4:G17" si="0">(2*PI())*((RADIANS(F4)-RADIANS(-2.077)))</f>
        <v>-0.86885417410923305</v>
      </c>
      <c r="K4" s="2">
        <v>-6.4343300000000001</v>
      </c>
      <c r="L4" s="2">
        <v>-0.37538700000000003</v>
      </c>
    </row>
    <row r="5" spans="1:14" x14ac:dyDescent="0.2">
      <c r="A5">
        <f t="shared" ref="A5:A17" si="1">A4+2</f>
        <v>-8</v>
      </c>
      <c r="B5">
        <v>-0.70577999999999996</v>
      </c>
      <c r="C5" s="5">
        <v>0.12973000000000001</v>
      </c>
      <c r="D5" s="5">
        <v>-4.4999999999999998E-2</v>
      </c>
      <c r="F5">
        <f t="shared" ref="F5:F17" si="2">F4+2</f>
        <v>-8</v>
      </c>
      <c r="G5">
        <f t="shared" si="0"/>
        <v>-0.64952963186280299</v>
      </c>
      <c r="K5" s="2">
        <v>-4.2073999999999998</v>
      </c>
      <c r="L5" s="2">
        <v>-0.18035100000000001</v>
      </c>
    </row>
    <row r="6" spans="1:14" x14ac:dyDescent="0.2">
      <c r="A6">
        <f t="shared" si="1"/>
        <v>-6</v>
      </c>
      <c r="B6">
        <v>-0.46505000000000002</v>
      </c>
      <c r="C6" s="5">
        <v>6.8190000000000001E-2</v>
      </c>
      <c r="D6" s="5">
        <v>-4.7440000000000003E-2</v>
      </c>
      <c r="F6">
        <f t="shared" si="2"/>
        <v>-6</v>
      </c>
      <c r="G6">
        <f t="shared" si="0"/>
        <v>-0.43020508961637283</v>
      </c>
      <c r="K6" s="2">
        <v>-2.30335</v>
      </c>
      <c r="L6" s="2">
        <v>4.7369799999999997E-2</v>
      </c>
    </row>
    <row r="7" spans="1:14" x14ac:dyDescent="0.2">
      <c r="A7">
        <f t="shared" si="1"/>
        <v>-4</v>
      </c>
      <c r="B7">
        <v>-0.22377</v>
      </c>
      <c r="C7" s="5">
        <v>5.8100000000000001E-3</v>
      </c>
      <c r="D7" s="5">
        <v>-4.999E-2</v>
      </c>
      <c r="F7">
        <f t="shared" si="2"/>
        <v>-4</v>
      </c>
      <c r="G7">
        <f t="shared" si="0"/>
        <v>-0.21088054736994261</v>
      </c>
      <c r="K7" s="2">
        <v>-0.17479600000000001</v>
      </c>
      <c r="L7" s="2">
        <v>0.24551799999999999</v>
      </c>
    </row>
    <row r="8" spans="1:14" x14ac:dyDescent="0.2">
      <c r="A8">
        <f t="shared" si="1"/>
        <v>-2</v>
      </c>
      <c r="B8">
        <v>1.779E-2</v>
      </c>
      <c r="C8" s="5">
        <v>-5.7090000000000002E-2</v>
      </c>
      <c r="D8" s="5">
        <v>-5.2639999999999999E-2</v>
      </c>
      <c r="F8">
        <f t="shared" si="2"/>
        <v>-2</v>
      </c>
      <c r="G8">
        <f t="shared" si="0"/>
        <v>8.4439948764875681E-3</v>
      </c>
      <c r="K8" s="2">
        <v>1.6630400000000001</v>
      </c>
      <c r="L8" s="2">
        <v>0.45668300000000001</v>
      </c>
    </row>
    <row r="9" spans="1:14" x14ac:dyDescent="0.2">
      <c r="A9">
        <f t="shared" si="1"/>
        <v>0</v>
      </c>
      <c r="B9">
        <v>0.25933</v>
      </c>
      <c r="C9" s="5">
        <v>-0.1202</v>
      </c>
      <c r="D9" s="5">
        <v>-5.5370000000000003E-2</v>
      </c>
      <c r="F9">
        <f t="shared" si="2"/>
        <v>0</v>
      </c>
      <c r="G9">
        <f t="shared" si="0"/>
        <v>0.22776853712291775</v>
      </c>
      <c r="K9" s="2">
        <v>3.7577400000000001</v>
      </c>
      <c r="L9" s="2">
        <v>0.64812800000000004</v>
      </c>
    </row>
    <row r="10" spans="1:14" x14ac:dyDescent="0.2">
      <c r="A10">
        <f t="shared" si="1"/>
        <v>2</v>
      </c>
      <c r="B10">
        <v>0.50055000000000005</v>
      </c>
      <c r="C10" s="5">
        <v>-0.18323</v>
      </c>
      <c r="D10" s="5">
        <v>-5.8169999999999999E-2</v>
      </c>
      <c r="F10">
        <f t="shared" si="2"/>
        <v>2</v>
      </c>
      <c r="G10">
        <f t="shared" si="0"/>
        <v>0.44709307936934795</v>
      </c>
      <c r="K10" s="2">
        <v>5.8516700000000004</v>
      </c>
      <c r="L10" s="2">
        <v>0.85585500000000003</v>
      </c>
    </row>
    <row r="11" spans="1:14" x14ac:dyDescent="0.2">
      <c r="A11">
        <f t="shared" si="1"/>
        <v>4</v>
      </c>
      <c r="B11">
        <v>0.74116000000000004</v>
      </c>
      <c r="C11" s="5">
        <v>-0.24587000000000001</v>
      </c>
      <c r="D11" s="5">
        <v>-6.1030000000000001E-2</v>
      </c>
      <c r="F11">
        <f t="shared" si="2"/>
        <v>4</v>
      </c>
      <c r="G11">
        <f t="shared" si="0"/>
        <v>0.66641762161577811</v>
      </c>
      <c r="K11" s="2">
        <v>7.9769699999999997</v>
      </c>
      <c r="L11" s="2">
        <v>1.0438799999999999</v>
      </c>
    </row>
    <row r="12" spans="1:14" x14ac:dyDescent="0.2">
      <c r="A12">
        <f t="shared" si="1"/>
        <v>6</v>
      </c>
      <c r="B12">
        <v>0.98087000000000002</v>
      </c>
      <c r="C12" s="5">
        <v>-0.30780000000000002</v>
      </c>
      <c r="D12" s="5">
        <v>-6.3930000000000001E-2</v>
      </c>
      <c r="F12">
        <f t="shared" si="2"/>
        <v>6</v>
      </c>
      <c r="G12">
        <f t="shared" si="0"/>
        <v>0.88574216386220839</v>
      </c>
      <c r="K12" s="2">
        <v>10.004899999999999</v>
      </c>
      <c r="L12" s="2">
        <v>1.2432799999999999</v>
      </c>
    </row>
    <row r="13" spans="1:14" x14ac:dyDescent="0.2">
      <c r="A13">
        <f t="shared" si="1"/>
        <v>8</v>
      </c>
      <c r="B13">
        <v>1.21939</v>
      </c>
      <c r="C13" s="5">
        <v>-0.36874000000000001</v>
      </c>
      <c r="D13" s="5">
        <v>-6.6860000000000003E-2</v>
      </c>
      <c r="F13">
        <f t="shared" si="2"/>
        <v>8</v>
      </c>
      <c r="G13">
        <f t="shared" si="0"/>
        <v>1.1050667061086386</v>
      </c>
      <c r="K13" s="2">
        <v>12.064399999999999</v>
      </c>
      <c r="L13" s="2">
        <v>1.39849</v>
      </c>
    </row>
    <row r="14" spans="1:14" x14ac:dyDescent="0.2">
      <c r="A14">
        <f t="shared" si="1"/>
        <v>10</v>
      </c>
      <c r="B14">
        <v>1.45642</v>
      </c>
      <c r="C14" s="5">
        <v>-0.42836999999999997</v>
      </c>
      <c r="D14" s="5">
        <v>-6.9800000000000001E-2</v>
      </c>
      <c r="F14">
        <f t="shared" si="2"/>
        <v>10</v>
      </c>
      <c r="G14">
        <f t="shared" si="0"/>
        <v>1.3243912483550686</v>
      </c>
      <c r="K14" s="2">
        <v>14.22</v>
      </c>
      <c r="L14" s="2">
        <v>1.5275300000000001</v>
      </c>
    </row>
    <row r="15" spans="1:14" x14ac:dyDescent="0.2">
      <c r="A15">
        <f t="shared" si="1"/>
        <v>12</v>
      </c>
      <c r="B15">
        <v>1.69167</v>
      </c>
      <c r="C15" s="5">
        <v>-0.48641000000000001</v>
      </c>
      <c r="D15" s="5">
        <v>-7.2739999999999999E-2</v>
      </c>
      <c r="F15">
        <f t="shared" si="2"/>
        <v>12</v>
      </c>
      <c r="G15">
        <f t="shared" si="0"/>
        <v>1.5437157906014989</v>
      </c>
      <c r="K15" s="2">
        <v>15.281499999999999</v>
      </c>
      <c r="L15" s="2">
        <v>1.5944799999999999</v>
      </c>
    </row>
    <row r="16" spans="1:14" x14ac:dyDescent="0.2">
      <c r="A16">
        <f>A15+2</f>
        <v>14</v>
      </c>
      <c r="B16">
        <v>1.92486</v>
      </c>
      <c r="C16" s="5">
        <v>-0.54259000000000002</v>
      </c>
      <c r="D16" s="5">
        <v>-7.5660000000000005E-2</v>
      </c>
      <c r="F16">
        <f>F15+2</f>
        <v>14</v>
      </c>
      <c r="G16">
        <f t="shared" si="0"/>
        <v>1.7630403328479289</v>
      </c>
      <c r="K16" s="2">
        <v>15.7967</v>
      </c>
      <c r="L16" s="2">
        <v>1.5650900000000001</v>
      </c>
    </row>
    <row r="17" spans="1:12" x14ac:dyDescent="0.2">
      <c r="A17">
        <f t="shared" si="1"/>
        <v>16</v>
      </c>
      <c r="B17">
        <v>2.15571</v>
      </c>
      <c r="C17" s="5">
        <v>-0.59660999999999997</v>
      </c>
      <c r="D17" s="5">
        <v>-7.8560000000000005E-2</v>
      </c>
      <c r="F17">
        <f t="shared" si="2"/>
        <v>16</v>
      </c>
      <c r="G17">
        <f t="shared" si="0"/>
        <v>1.982364875094359</v>
      </c>
      <c r="K17" s="2">
        <v>16.312200000000001</v>
      </c>
      <c r="L17" s="2">
        <v>1.50956</v>
      </c>
    </row>
  </sheetData>
  <sortState xmlns:xlrd2="http://schemas.microsoft.com/office/spreadsheetml/2017/richdata2" ref="K3:K17">
    <sortCondition ref="K17"/>
  </sortState>
  <mergeCells count="3">
    <mergeCell ref="A1:D1"/>
    <mergeCell ref="F1:I1"/>
    <mergeCell ref="K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6DCF-C243-9B42-AB15-413B4357DB83}">
  <dimension ref="A1:N17"/>
  <sheetViews>
    <sheetView tabSelected="1" workbookViewId="0">
      <selection activeCell="C3" sqref="C3:D17"/>
    </sheetView>
  </sheetViews>
  <sheetFormatPr baseColWidth="10" defaultRowHeight="16" x14ac:dyDescent="0.2"/>
  <sheetData>
    <row r="1" spans="1:14" x14ac:dyDescent="0.2">
      <c r="A1" s="6" t="s">
        <v>4</v>
      </c>
      <c r="B1" s="6"/>
      <c r="C1" s="6"/>
      <c r="D1" s="6"/>
      <c r="F1" s="6" t="s">
        <v>5</v>
      </c>
      <c r="G1" s="6"/>
      <c r="H1" s="6"/>
      <c r="I1" s="6"/>
      <c r="K1" s="6" t="s">
        <v>7</v>
      </c>
      <c r="L1" s="6"/>
      <c r="M1" s="6"/>
      <c r="N1" s="6"/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4" x14ac:dyDescent="0.2">
      <c r="A3">
        <v>-12</v>
      </c>
      <c r="B3" s="5">
        <v>-1.25946</v>
      </c>
      <c r="C3" s="5"/>
      <c r="D3" s="5"/>
      <c r="F3">
        <v>-12</v>
      </c>
      <c r="G3">
        <f>(2*PI())*((RADIANS(F3)-RADIANS(-2.077)))</f>
        <v>-1.0881787163556635</v>
      </c>
      <c r="K3" s="2">
        <v>-12.2569</v>
      </c>
      <c r="L3" s="2">
        <v>-1.02186</v>
      </c>
    </row>
    <row r="4" spans="1:14" x14ac:dyDescent="0.2">
      <c r="A4">
        <f>A3+2</f>
        <v>-10</v>
      </c>
      <c r="B4" s="5">
        <v>-1.00407</v>
      </c>
      <c r="C4" s="5"/>
      <c r="D4" s="5"/>
      <c r="F4">
        <f>F3+2</f>
        <v>-10</v>
      </c>
      <c r="G4">
        <f t="shared" ref="G4:G17" si="0">(2*PI())*((RADIANS(F4)-RADIANS(-2.077)))</f>
        <v>-0.86885417410923305</v>
      </c>
      <c r="K4" s="2">
        <v>-10.3102</v>
      </c>
      <c r="L4" s="2">
        <v>-0.82842300000000002</v>
      </c>
    </row>
    <row r="5" spans="1:14" x14ac:dyDescent="0.2">
      <c r="A5">
        <f t="shared" ref="A5:A17" si="1">A4+2</f>
        <v>-8</v>
      </c>
      <c r="B5" s="5">
        <v>-0.74744999999999995</v>
      </c>
      <c r="C5" s="5"/>
      <c r="D5" s="5"/>
      <c r="F5">
        <f t="shared" ref="F5:F17" si="2">F4+2</f>
        <v>-8</v>
      </c>
      <c r="G5">
        <f t="shared" si="0"/>
        <v>-0.64952963186280299</v>
      </c>
      <c r="K5" s="2">
        <v>-6.1609600000000002</v>
      </c>
      <c r="L5" s="2">
        <v>-0.45816400000000002</v>
      </c>
    </row>
    <row r="6" spans="1:14" x14ac:dyDescent="0.2">
      <c r="A6">
        <f t="shared" si="1"/>
        <v>-6</v>
      </c>
      <c r="B6" s="5">
        <v>-0.48992000000000002</v>
      </c>
      <c r="C6" s="5"/>
      <c r="D6" s="5"/>
      <c r="F6">
        <f t="shared" si="2"/>
        <v>-6</v>
      </c>
      <c r="G6">
        <f t="shared" si="0"/>
        <v>-0.43020508961637283</v>
      </c>
      <c r="K6" s="2">
        <v>-3.98794</v>
      </c>
      <c r="L6" s="2">
        <v>-0.235073</v>
      </c>
    </row>
    <row r="7" spans="1:14" x14ac:dyDescent="0.2">
      <c r="A7">
        <f t="shared" si="1"/>
        <v>-4</v>
      </c>
      <c r="B7" s="5">
        <v>-0.23179</v>
      </c>
      <c r="C7" s="5"/>
      <c r="D7" s="5"/>
      <c r="F7">
        <f t="shared" si="2"/>
        <v>-4</v>
      </c>
      <c r="G7">
        <f t="shared" si="0"/>
        <v>-0.21088054736994261</v>
      </c>
      <c r="K7" s="2">
        <v>-2.17022</v>
      </c>
      <c r="L7" s="2">
        <v>-1.8620000000000001E-2</v>
      </c>
    </row>
    <row r="8" spans="1:14" x14ac:dyDescent="0.2">
      <c r="A8">
        <f t="shared" si="1"/>
        <v>-2</v>
      </c>
      <c r="B8" s="5">
        <v>2.6620000000000001E-2</v>
      </c>
      <c r="C8" s="5"/>
      <c r="D8" s="5"/>
      <c r="F8">
        <f t="shared" si="2"/>
        <v>-2</v>
      </c>
      <c r="G8">
        <f t="shared" si="0"/>
        <v>8.4439948764875681E-3</v>
      </c>
      <c r="K8" s="2">
        <v>-3.1766999999999997E-2</v>
      </c>
      <c r="L8" s="2">
        <v>0.17630599999999999</v>
      </c>
    </row>
    <row r="9" spans="1:14" x14ac:dyDescent="0.2">
      <c r="A9">
        <f t="shared" si="1"/>
        <v>0</v>
      </c>
      <c r="B9" s="5">
        <v>0.28499999999999998</v>
      </c>
      <c r="C9" s="5"/>
      <c r="D9" s="5"/>
      <c r="F9">
        <f t="shared" si="2"/>
        <v>0</v>
      </c>
      <c r="G9">
        <f t="shared" si="0"/>
        <v>0.22776853712291775</v>
      </c>
      <c r="K9" s="2">
        <v>1.9119200000000001</v>
      </c>
      <c r="L9" s="2">
        <v>0.35303000000000001</v>
      </c>
    </row>
    <row r="10" spans="1:14" x14ac:dyDescent="0.2">
      <c r="A10">
        <f t="shared" si="1"/>
        <v>2</v>
      </c>
      <c r="B10" s="5">
        <v>0.54303000000000001</v>
      </c>
      <c r="C10" s="5"/>
      <c r="D10" s="5"/>
      <c r="F10">
        <f t="shared" si="2"/>
        <v>2</v>
      </c>
      <c r="G10">
        <f t="shared" si="0"/>
        <v>0.44709307936934795</v>
      </c>
      <c r="K10" s="2">
        <v>4.0824499999999997</v>
      </c>
      <c r="L10" s="2">
        <v>0.55780200000000002</v>
      </c>
    </row>
    <row r="11" spans="1:14" x14ac:dyDescent="0.2">
      <c r="A11">
        <f t="shared" si="1"/>
        <v>4</v>
      </c>
      <c r="B11" s="5">
        <v>0.8004</v>
      </c>
      <c r="C11" s="5"/>
      <c r="D11" s="5"/>
      <c r="F11">
        <f t="shared" si="2"/>
        <v>4</v>
      </c>
      <c r="G11">
        <f t="shared" si="0"/>
        <v>0.66641762161577811</v>
      </c>
      <c r="K11" s="2">
        <v>6.0571900000000003</v>
      </c>
      <c r="L11" s="2">
        <v>0.72620200000000001</v>
      </c>
    </row>
    <row r="12" spans="1:14" x14ac:dyDescent="0.2">
      <c r="A12">
        <f t="shared" si="1"/>
        <v>6</v>
      </c>
      <c r="B12" s="5">
        <v>1.0567899999999999</v>
      </c>
      <c r="C12" s="5"/>
      <c r="D12" s="5"/>
      <c r="F12">
        <f t="shared" si="2"/>
        <v>6</v>
      </c>
      <c r="G12">
        <f t="shared" si="0"/>
        <v>0.88574216386220839</v>
      </c>
      <c r="K12" s="2">
        <v>8.1944700000000008</v>
      </c>
      <c r="L12" s="2">
        <v>0.92595000000000005</v>
      </c>
    </row>
    <row r="13" spans="1:14" x14ac:dyDescent="0.2">
      <c r="A13">
        <f t="shared" si="1"/>
        <v>8</v>
      </c>
      <c r="B13" s="5">
        <v>1.31189</v>
      </c>
      <c r="C13" s="5"/>
      <c r="D13" s="5"/>
      <c r="F13">
        <f t="shared" si="2"/>
        <v>8</v>
      </c>
      <c r="G13">
        <f t="shared" si="0"/>
        <v>1.1050667061086386</v>
      </c>
      <c r="K13" s="2">
        <v>10.004300000000001</v>
      </c>
      <c r="L13" s="2">
        <v>1.03979</v>
      </c>
    </row>
    <row r="14" spans="1:14" x14ac:dyDescent="0.2">
      <c r="A14">
        <f t="shared" si="1"/>
        <v>10</v>
      </c>
      <c r="B14" s="5">
        <v>1.5653999999999999</v>
      </c>
      <c r="C14" s="5"/>
      <c r="D14" s="5"/>
      <c r="F14">
        <f t="shared" si="2"/>
        <v>10</v>
      </c>
      <c r="G14">
        <f t="shared" si="0"/>
        <v>1.3243912483550686</v>
      </c>
      <c r="K14" s="2">
        <v>12.265599999999999</v>
      </c>
      <c r="L14" s="2">
        <v>1.1733899999999999</v>
      </c>
    </row>
    <row r="15" spans="1:14" x14ac:dyDescent="0.2">
      <c r="A15">
        <f t="shared" si="1"/>
        <v>12</v>
      </c>
      <c r="B15" s="5">
        <v>1.8169999999999999</v>
      </c>
      <c r="C15" s="5"/>
      <c r="D15" s="5"/>
      <c r="F15">
        <f t="shared" si="2"/>
        <v>12</v>
      </c>
      <c r="G15">
        <f t="shared" si="0"/>
        <v>1.5437157906014989</v>
      </c>
      <c r="K15" s="2">
        <v>14.071300000000001</v>
      </c>
      <c r="L15" s="2">
        <v>1.2293799999999999</v>
      </c>
    </row>
    <row r="16" spans="1:14" x14ac:dyDescent="0.2">
      <c r="A16">
        <f>A15+2</f>
        <v>14</v>
      </c>
      <c r="B16" s="5">
        <v>2.0663900000000002</v>
      </c>
      <c r="C16" s="5"/>
      <c r="D16" s="5"/>
      <c r="F16">
        <f>F15+2</f>
        <v>14</v>
      </c>
      <c r="G16">
        <f t="shared" si="0"/>
        <v>1.7630403328479289</v>
      </c>
      <c r="K16" s="2">
        <v>16.288499999999999</v>
      </c>
      <c r="L16" s="2">
        <v>1.1796199999999999</v>
      </c>
    </row>
    <row r="17" spans="1:12" x14ac:dyDescent="0.2">
      <c r="A17">
        <f t="shared" si="1"/>
        <v>16</v>
      </c>
      <c r="B17" s="5">
        <v>2.3132600000000001</v>
      </c>
      <c r="C17" s="5"/>
      <c r="D17" s="5"/>
      <c r="F17">
        <f t="shared" si="2"/>
        <v>16</v>
      </c>
      <c r="G17">
        <f t="shared" si="0"/>
        <v>1.982364875094359</v>
      </c>
      <c r="K17" s="2"/>
      <c r="L17" s="2"/>
    </row>
  </sheetData>
  <sortState xmlns:xlrd2="http://schemas.microsoft.com/office/spreadsheetml/2017/richdata2" ref="K3:K16">
    <sortCondition ref="K3:K16"/>
  </sortState>
  <mergeCells count="3">
    <mergeCell ref="A1:D1"/>
    <mergeCell ref="F1:I1"/>
    <mergeCell ref="K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401B-E600-F24F-8824-405A6150843F}">
  <dimension ref="A1:O17"/>
  <sheetViews>
    <sheetView workbookViewId="0">
      <selection activeCell="C3" sqref="C3:D17"/>
    </sheetView>
  </sheetViews>
  <sheetFormatPr baseColWidth="10" defaultRowHeight="16" x14ac:dyDescent="0.2"/>
  <cols>
    <col min="1" max="1" width="12.33203125" style="1" bestFit="1" customWidth="1"/>
    <col min="2" max="2" width="11.33203125" style="1" bestFit="1" customWidth="1"/>
    <col min="3" max="5" width="10.83203125" style="1"/>
    <col min="6" max="6" width="12.33203125" style="1" bestFit="1" customWidth="1"/>
    <col min="7" max="7" width="11.33203125" style="1" bestFit="1" customWidth="1"/>
    <col min="8" max="10" width="10.83203125" style="1"/>
    <col min="11" max="11" width="12.33203125" style="1" bestFit="1" customWidth="1"/>
    <col min="12" max="12" width="11.1640625" style="1" bestFit="1" customWidth="1"/>
    <col min="13" max="14" width="11.33203125" style="1" bestFit="1" customWidth="1"/>
    <col min="15" max="15" width="11.1640625" style="1" bestFit="1" customWidth="1"/>
    <col min="16" max="16384" width="10.83203125" style="1"/>
  </cols>
  <sheetData>
    <row r="1" spans="1:15" x14ac:dyDescent="0.2">
      <c r="A1" s="6" t="s">
        <v>4</v>
      </c>
      <c r="B1" s="6"/>
      <c r="C1" s="6"/>
      <c r="D1" s="6"/>
      <c r="F1" s="6" t="s">
        <v>5</v>
      </c>
      <c r="G1" s="6"/>
      <c r="H1" s="6"/>
      <c r="I1" s="6"/>
      <c r="K1" s="6" t="s">
        <v>6</v>
      </c>
      <c r="L1" s="6"/>
      <c r="M1" s="6"/>
      <c r="N1" s="6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8</v>
      </c>
    </row>
    <row r="3" spans="1:15" x14ac:dyDescent="0.2">
      <c r="A3" s="3">
        <v>-12</v>
      </c>
      <c r="B3" s="3">
        <v>-1.47119</v>
      </c>
      <c r="C3" s="3"/>
      <c r="D3" s="3"/>
      <c r="E3" s="3"/>
      <c r="F3" s="3">
        <v>-12</v>
      </c>
      <c r="G3" s="3">
        <f>(2*PI())*RADIANS(F3)</f>
        <v>-1.3159472534785812</v>
      </c>
      <c r="H3" s="3"/>
      <c r="I3" s="3"/>
      <c r="J3" s="3"/>
      <c r="K3" s="3">
        <v>-12</v>
      </c>
      <c r="L3" s="4">
        <v>-1.3138000000000001</v>
      </c>
      <c r="M3" s="3">
        <f>N3-0.25*((L3*COS(RADIANS(K3)))+(O3*SIN(RADIANS(K3))))</f>
        <v>0.31806648472912274</v>
      </c>
      <c r="N3" s="3">
        <v>-3.8999999999999998E-3</v>
      </c>
      <c r="O3" s="3">
        <v>1.3350000000000001E-2</v>
      </c>
    </row>
    <row r="4" spans="1:15" x14ac:dyDescent="0.2">
      <c r="A4" s="3">
        <f>A3+2</f>
        <v>-10</v>
      </c>
      <c r="B4" s="3">
        <v>-1.2287399999999999</v>
      </c>
      <c r="C4" s="3"/>
      <c r="D4" s="3"/>
      <c r="E4" s="3"/>
      <c r="F4" s="3">
        <f>F3+2</f>
        <v>-10</v>
      </c>
      <c r="G4" s="3">
        <f t="shared" ref="G4:G17" si="0">(2*PI())*RADIANS(F4)</f>
        <v>-1.0966227112321509</v>
      </c>
      <c r="H4" s="3"/>
      <c r="I4" s="3"/>
      <c r="J4" s="3"/>
      <c r="K4" s="3">
        <f>K3+2</f>
        <v>-10</v>
      </c>
      <c r="L4" s="4">
        <v>-1.1020000000000001</v>
      </c>
      <c r="M4" s="3">
        <f t="shared" ref="M4:M17" si="1">N4-0.25*((L4*COS(RADIANS(K4)))+(O4*SIN(RADIANS(K4))))</f>
        <v>0.26809120020255905</v>
      </c>
      <c r="N4" s="3">
        <v>-3.7000000000000002E-3</v>
      </c>
      <c r="O4" s="3">
        <v>1.098E-2</v>
      </c>
    </row>
    <row r="5" spans="1:15" x14ac:dyDescent="0.2">
      <c r="A5" s="3">
        <f t="shared" ref="A5:A17" si="2">A4+2</f>
        <v>-8</v>
      </c>
      <c r="B5" s="3">
        <v>-0.98479000000000005</v>
      </c>
      <c r="C5" s="3"/>
      <c r="D5" s="3"/>
      <c r="E5" s="3"/>
      <c r="F5" s="3">
        <f t="shared" ref="F5:F17" si="3">F4+2</f>
        <v>-8</v>
      </c>
      <c r="G5" s="3">
        <f t="shared" si="0"/>
        <v>-0.87729816898572077</v>
      </c>
      <c r="H5" s="3"/>
      <c r="I5" s="3"/>
      <c r="J5" s="3"/>
      <c r="K5" s="3">
        <f t="shared" ref="K5:K17" si="4">K4+2</f>
        <v>-8</v>
      </c>
      <c r="L5" s="4">
        <v>-0.87380000000000002</v>
      </c>
      <c r="M5" s="3">
        <f t="shared" si="1"/>
        <v>0.21103719909375618</v>
      </c>
      <c r="N5" s="3">
        <v>-5.5999999999999999E-3</v>
      </c>
      <c r="O5" s="3">
        <v>8.9999999999999993E-3</v>
      </c>
    </row>
    <row r="6" spans="1:15" x14ac:dyDescent="0.2">
      <c r="A6" s="3">
        <f t="shared" si="2"/>
        <v>-6</v>
      </c>
      <c r="B6" s="3">
        <v>-0.73965000000000003</v>
      </c>
      <c r="C6" s="3"/>
      <c r="D6" s="3"/>
      <c r="E6" s="3"/>
      <c r="F6" s="3">
        <f t="shared" si="3"/>
        <v>-6</v>
      </c>
      <c r="G6" s="3">
        <f t="shared" si="0"/>
        <v>-0.65797362673929061</v>
      </c>
      <c r="H6" s="3"/>
      <c r="I6" s="3"/>
      <c r="J6" s="3"/>
      <c r="K6" s="3">
        <f t="shared" si="4"/>
        <v>-6</v>
      </c>
      <c r="L6" s="4">
        <v>-0.66490000000000005</v>
      </c>
      <c r="M6" s="3">
        <f t="shared" si="1"/>
        <v>0.16311065424737625</v>
      </c>
      <c r="N6" s="3">
        <v>-2.3999999999999998E-3</v>
      </c>
      <c r="O6" s="3">
        <v>7.5100000000000002E-3</v>
      </c>
    </row>
    <row r="7" spans="1:15" x14ac:dyDescent="0.2">
      <c r="A7" s="3">
        <f t="shared" si="2"/>
        <v>-4</v>
      </c>
      <c r="B7" s="3">
        <v>-0.49359999999999998</v>
      </c>
      <c r="C7" s="3"/>
      <c r="D7" s="3"/>
      <c r="E7" s="3"/>
      <c r="F7" s="3">
        <f t="shared" si="3"/>
        <v>-4</v>
      </c>
      <c r="G7" s="3">
        <f t="shared" si="0"/>
        <v>-0.43864908449286039</v>
      </c>
      <c r="H7" s="3"/>
      <c r="I7" s="3"/>
      <c r="J7" s="3"/>
      <c r="K7" s="3">
        <f t="shared" si="4"/>
        <v>-4</v>
      </c>
      <c r="L7" s="4">
        <v>-0.44740000000000002</v>
      </c>
      <c r="M7" s="3">
        <f t="shared" si="1"/>
        <v>0.11089002133547375</v>
      </c>
      <c r="N7" s="3">
        <v>-8.0000000000000004E-4</v>
      </c>
      <c r="O7" s="3">
        <v>6.45E-3</v>
      </c>
    </row>
    <row r="8" spans="1:15" x14ac:dyDescent="0.2">
      <c r="A8" s="3">
        <f t="shared" si="2"/>
        <v>-2</v>
      </c>
      <c r="B8" s="3">
        <v>-0.24695</v>
      </c>
      <c r="C8" s="3"/>
      <c r="D8" s="3"/>
      <c r="E8" s="3"/>
      <c r="F8" s="3">
        <f t="shared" si="3"/>
        <v>-2</v>
      </c>
      <c r="G8" s="3">
        <f t="shared" si="0"/>
        <v>-0.21932454224643019</v>
      </c>
      <c r="H8" s="3"/>
      <c r="I8" s="3"/>
      <c r="J8" s="3"/>
      <c r="K8" s="3">
        <f t="shared" si="4"/>
        <v>-2</v>
      </c>
      <c r="L8" s="4">
        <v>-0.2253</v>
      </c>
      <c r="M8" s="3">
        <f t="shared" si="1"/>
        <v>5.6241641597036214E-2</v>
      </c>
      <c r="N8" s="3">
        <v>-1E-4</v>
      </c>
      <c r="O8" s="3">
        <v>5.8399999999999997E-3</v>
      </c>
    </row>
    <row r="9" spans="1:15" x14ac:dyDescent="0.2">
      <c r="A9" s="3">
        <f t="shared" si="2"/>
        <v>0</v>
      </c>
      <c r="B9" s="3">
        <v>0</v>
      </c>
      <c r="C9" s="3"/>
      <c r="D9" s="3"/>
      <c r="E9" s="3"/>
      <c r="F9" s="3">
        <f t="shared" si="3"/>
        <v>0</v>
      </c>
      <c r="G9" s="3">
        <f t="shared" si="0"/>
        <v>0</v>
      </c>
      <c r="H9" s="3"/>
      <c r="I9" s="3"/>
      <c r="J9" s="3"/>
      <c r="K9" s="3">
        <f t="shared" si="4"/>
        <v>0</v>
      </c>
      <c r="L9" s="4">
        <v>1E-4</v>
      </c>
      <c r="M9" s="3">
        <f t="shared" si="1"/>
        <v>-2.5000000000000001E-5</v>
      </c>
      <c r="N9" s="3">
        <v>0</v>
      </c>
      <c r="O9" s="3">
        <v>5.6600000000000001E-3</v>
      </c>
    </row>
    <row r="10" spans="1:15" x14ac:dyDescent="0.2">
      <c r="A10" s="3">
        <f t="shared" si="2"/>
        <v>2</v>
      </c>
      <c r="B10" s="3">
        <v>0.24695</v>
      </c>
      <c r="C10" s="3"/>
      <c r="D10" s="3"/>
      <c r="E10" s="3"/>
      <c r="F10" s="3">
        <f t="shared" si="3"/>
        <v>2</v>
      </c>
      <c r="G10" s="3">
        <f t="shared" si="0"/>
        <v>0.21932454224643019</v>
      </c>
      <c r="H10" s="3"/>
      <c r="I10" s="3"/>
      <c r="J10" s="3"/>
      <c r="K10" s="3">
        <f t="shared" si="4"/>
        <v>2</v>
      </c>
      <c r="L10" s="4">
        <v>0.2253</v>
      </c>
      <c r="M10" s="3">
        <f t="shared" si="1"/>
        <v>-5.5341641597036216E-2</v>
      </c>
      <c r="N10" s="3">
        <v>1E-3</v>
      </c>
      <c r="O10" s="3">
        <v>5.8399999999999997E-3</v>
      </c>
    </row>
    <row r="11" spans="1:15" x14ac:dyDescent="0.2">
      <c r="A11" s="3">
        <f t="shared" si="2"/>
        <v>4</v>
      </c>
      <c r="B11" s="3">
        <v>0.49359999999999998</v>
      </c>
      <c r="C11" s="3"/>
      <c r="D11" s="3"/>
      <c r="E11" s="3"/>
      <c r="F11" s="3">
        <f t="shared" si="3"/>
        <v>4</v>
      </c>
      <c r="G11" s="3">
        <f t="shared" si="0"/>
        <v>0.43864908449286039</v>
      </c>
      <c r="H11" s="3"/>
      <c r="I11" s="3"/>
      <c r="J11" s="3"/>
      <c r="K11" s="3">
        <f t="shared" si="4"/>
        <v>4</v>
      </c>
      <c r="L11" s="4">
        <v>0.44740000000000002</v>
      </c>
      <c r="M11" s="3">
        <f t="shared" si="1"/>
        <v>-0.10369002133547375</v>
      </c>
      <c r="N11" s="3">
        <v>8.0000000000000002E-3</v>
      </c>
      <c r="O11" s="3">
        <v>6.45E-3</v>
      </c>
    </row>
    <row r="12" spans="1:15" x14ac:dyDescent="0.2">
      <c r="A12" s="3">
        <f t="shared" si="2"/>
        <v>6</v>
      </c>
      <c r="B12" s="3">
        <v>0.73965000000000003</v>
      </c>
      <c r="C12" s="3"/>
      <c r="D12" s="3"/>
      <c r="E12" s="3"/>
      <c r="F12" s="3">
        <f t="shared" si="3"/>
        <v>6</v>
      </c>
      <c r="G12" s="3">
        <f t="shared" si="0"/>
        <v>0.65797362673929061</v>
      </c>
      <c r="H12" s="3"/>
      <c r="I12" s="3"/>
      <c r="J12" s="3"/>
      <c r="K12" s="3">
        <f t="shared" si="4"/>
        <v>6</v>
      </c>
      <c r="L12" s="4">
        <v>0.66490000000000005</v>
      </c>
      <c r="M12" s="3">
        <f t="shared" si="1"/>
        <v>-0.16311065424737625</v>
      </c>
      <c r="N12" s="3">
        <v>2.3999999999999998E-3</v>
      </c>
      <c r="O12" s="3">
        <v>7.5100000000000002E-3</v>
      </c>
    </row>
    <row r="13" spans="1:15" x14ac:dyDescent="0.2">
      <c r="A13" s="3">
        <f t="shared" si="2"/>
        <v>8</v>
      </c>
      <c r="B13" s="3">
        <v>0.98479000000000005</v>
      </c>
      <c r="C13" s="3"/>
      <c r="D13" s="3"/>
      <c r="E13" s="3"/>
      <c r="F13" s="3">
        <f t="shared" si="3"/>
        <v>8</v>
      </c>
      <c r="G13" s="3">
        <f t="shared" si="0"/>
        <v>0.87729816898572077</v>
      </c>
      <c r="H13" s="3"/>
      <c r="I13" s="3"/>
      <c r="J13" s="3"/>
      <c r="K13" s="3">
        <f t="shared" si="4"/>
        <v>8</v>
      </c>
      <c r="L13" s="4">
        <v>0.87380000000000002</v>
      </c>
      <c r="M13" s="3">
        <f t="shared" si="1"/>
        <v>-0.21103719909375618</v>
      </c>
      <c r="N13" s="3">
        <v>5.5999999999999999E-3</v>
      </c>
      <c r="O13" s="3">
        <v>8.9999999999999993E-3</v>
      </c>
    </row>
    <row r="14" spans="1:15" x14ac:dyDescent="0.2">
      <c r="A14" s="3">
        <f t="shared" si="2"/>
        <v>10</v>
      </c>
      <c r="B14" s="3">
        <v>1.2287399999999999</v>
      </c>
      <c r="C14" s="3"/>
      <c r="D14" s="3"/>
      <c r="E14" s="3"/>
      <c r="F14" s="3">
        <f t="shared" si="3"/>
        <v>10</v>
      </c>
      <c r="G14" s="3">
        <f t="shared" si="0"/>
        <v>1.0966227112321509</v>
      </c>
      <c r="H14" s="3"/>
      <c r="I14" s="3"/>
      <c r="J14" s="3"/>
      <c r="K14" s="3">
        <f t="shared" si="4"/>
        <v>10</v>
      </c>
      <c r="L14" s="4">
        <v>1.1021000000000001</v>
      </c>
      <c r="M14" s="3">
        <f t="shared" si="1"/>
        <v>-0.26821582039638436</v>
      </c>
      <c r="N14" s="3">
        <v>3.5999999999999999E-3</v>
      </c>
      <c r="O14" s="3">
        <v>1.098E-2</v>
      </c>
    </row>
    <row r="15" spans="1:15" x14ac:dyDescent="0.2">
      <c r="A15" s="3">
        <f t="shared" si="2"/>
        <v>12</v>
      </c>
      <c r="B15" s="3">
        <v>1.47119</v>
      </c>
      <c r="C15" s="3"/>
      <c r="D15" s="3"/>
      <c r="E15" s="3"/>
      <c r="F15" s="3">
        <f t="shared" si="3"/>
        <v>12</v>
      </c>
      <c r="G15" s="3">
        <f t="shared" si="0"/>
        <v>1.3159472534785812</v>
      </c>
      <c r="H15" s="3"/>
      <c r="I15" s="3"/>
      <c r="J15" s="3"/>
      <c r="K15" s="3">
        <f t="shared" si="4"/>
        <v>12</v>
      </c>
      <c r="L15" s="4">
        <v>1.3138000000000001</v>
      </c>
      <c r="M15" s="3">
        <f t="shared" si="1"/>
        <v>-0.3180659649498957</v>
      </c>
      <c r="N15" s="3">
        <v>3.8999999999999998E-3</v>
      </c>
      <c r="O15" s="3">
        <v>1.3339999999999999E-2</v>
      </c>
    </row>
    <row r="16" spans="1:15" x14ac:dyDescent="0.2">
      <c r="A16" s="3">
        <f>A15+2</f>
        <v>14</v>
      </c>
      <c r="B16" s="3">
        <v>1.71184</v>
      </c>
      <c r="C16" s="3"/>
      <c r="D16" s="3"/>
      <c r="E16" s="3"/>
      <c r="F16" s="3">
        <f>F15+2</f>
        <v>14</v>
      </c>
      <c r="G16" s="3">
        <f t="shared" si="0"/>
        <v>1.5352717957250113</v>
      </c>
      <c r="H16" s="3"/>
      <c r="I16" s="3"/>
      <c r="J16" s="3"/>
      <c r="K16" s="3">
        <f>K15+2</f>
        <v>14</v>
      </c>
      <c r="L16" s="4">
        <v>1.4595</v>
      </c>
      <c r="M16" s="3">
        <f t="shared" si="1"/>
        <v>-0.33881643680213286</v>
      </c>
      <c r="N16" s="3">
        <v>1.6199999999999999E-2</v>
      </c>
      <c r="O16" s="3">
        <v>1.6199999999999999E-2</v>
      </c>
    </row>
    <row r="17" spans="1:15" x14ac:dyDescent="0.2">
      <c r="A17" s="3">
        <f t="shared" si="2"/>
        <v>16</v>
      </c>
      <c r="B17" s="3">
        <v>1.95041</v>
      </c>
      <c r="C17" s="3"/>
      <c r="D17" s="3"/>
      <c r="E17" s="3"/>
      <c r="F17" s="3">
        <f t="shared" si="3"/>
        <v>16</v>
      </c>
      <c r="G17" s="3">
        <f t="shared" si="0"/>
        <v>1.7545963379714415</v>
      </c>
      <c r="H17" s="3"/>
      <c r="I17" s="3"/>
      <c r="J17" s="3"/>
      <c r="K17" s="3">
        <f t="shared" si="4"/>
        <v>16</v>
      </c>
      <c r="L17" s="4">
        <v>1.5797000000000001</v>
      </c>
      <c r="M17" s="3">
        <f t="shared" si="1"/>
        <v>-0.35327130410631125</v>
      </c>
      <c r="N17" s="3">
        <v>2.7799999999999998E-2</v>
      </c>
      <c r="O17" s="3">
        <v>2.0969999999999999E-2</v>
      </c>
    </row>
  </sheetData>
  <mergeCells count="3">
    <mergeCell ref="A1:D1"/>
    <mergeCell ref="F1:I1"/>
    <mergeCell ref="K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2412</vt:lpstr>
      <vt:lpstr>2421</vt:lpstr>
      <vt:lpstr>0015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Montgomery</dc:creator>
  <cp:lastModifiedBy>Alexis Montgomery</cp:lastModifiedBy>
  <dcterms:created xsi:type="dcterms:W3CDTF">2026-10-16T19:04:43Z</dcterms:created>
  <dcterms:modified xsi:type="dcterms:W3CDTF">2026-10-21T19:59:08Z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2026-10-16T19:04:49Z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369cbd97-2cc1-42d4-bd09-b3e92a5d75ee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